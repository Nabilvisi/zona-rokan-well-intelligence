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halliburton-my.sharepoint.com/personal/nabil_samawi_halliburton_com/Documents/Documents/Idle Well/Final/Complete File Work-CFW/Final Deliverable to Nations - Compilation/"/>
    </mc:Choice>
  </mc:AlternateContent>
  <xr:revisionPtr revIDLastSave="0" documentId="8_{FD84A493-67AB-45E4-AC81-41A1744AB34D}" xr6:coauthVersionLast="47" xr6:coauthVersionMax="47" xr10:uidLastSave="{00000000-0000-0000-0000-000000000000}"/>
  <bookViews>
    <workbookView minimized="1" xWindow="2184" yWindow="3720" windowWidth="17280" windowHeight="9960" tabRatio="900" xr2:uid="{00000000-000D-0000-FFFF-FFFF00000000}"/>
  </bookViews>
  <sheets>
    <sheet name="01_WellRegister and Scoring" sheetId="12" r:id="rId1"/>
    <sheet name="02_Tier Definitions &amp; KPIs" sheetId="15" r:id="rId2"/>
    <sheet name="03_Scoring Rubric" sheetId="16" r:id="rId3"/>
    <sheet name="04_Parameter Weights" sheetId="14" r:id="rId4"/>
  </sheets>
  <externalReferences>
    <externalReference r:id="rId5"/>
    <externalReference r:id="rId6"/>
  </externalReferences>
  <definedNames>
    <definedName name="_xlnm._FilterDatabase" localSheetId="0" hidden="1">'01_WellRegister and Scoring'!$A$8:$AU$109</definedName>
    <definedName name="_xlnm._FilterDatabase" localSheetId="3" hidden="1">'04_Parameter Weights'!$A$6:$M$19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10" i="12" l="1"/>
  <c r="AY11" i="12"/>
  <c r="AY12" i="12"/>
  <c r="AY13" i="12"/>
  <c r="AY14" i="12"/>
  <c r="AY15" i="12"/>
  <c r="AY16" i="12"/>
  <c r="AY17" i="12"/>
  <c r="AY18" i="12"/>
  <c r="AY19" i="12"/>
  <c r="AY20" i="12"/>
  <c r="AY21" i="12"/>
  <c r="AY22" i="12"/>
  <c r="AY23" i="12"/>
  <c r="AY24" i="12"/>
  <c r="AY25" i="12"/>
  <c r="AY26" i="12"/>
  <c r="AY27" i="12"/>
  <c r="AY28" i="12"/>
  <c r="AY29" i="12"/>
  <c r="AY30" i="12"/>
  <c r="AY31" i="12"/>
  <c r="AY32" i="12"/>
  <c r="AY33" i="12"/>
  <c r="AY34" i="12"/>
  <c r="AY35" i="12"/>
  <c r="AY36" i="12"/>
  <c r="AY37" i="12"/>
  <c r="AY38" i="12"/>
  <c r="AY39" i="12"/>
  <c r="AY40" i="12"/>
  <c r="AY41" i="12"/>
  <c r="AY42" i="12"/>
  <c r="AY43" i="12"/>
  <c r="AY44" i="12"/>
  <c r="AY45" i="12"/>
  <c r="AY46" i="12"/>
  <c r="AY47" i="12"/>
  <c r="AY48" i="12"/>
  <c r="AY49" i="12"/>
  <c r="AY50" i="12"/>
  <c r="AY51" i="12"/>
  <c r="AY52" i="12"/>
  <c r="AY53" i="12"/>
  <c r="AX54" i="12"/>
  <c r="AY54" i="12"/>
  <c r="AY55" i="12"/>
  <c r="AY56" i="12"/>
  <c r="AY57" i="12"/>
  <c r="AY58" i="12"/>
  <c r="AY59" i="12"/>
  <c r="AY60" i="12"/>
  <c r="AY61" i="12"/>
  <c r="AY62" i="12"/>
  <c r="AY63" i="12"/>
  <c r="AY64" i="12"/>
  <c r="AY65" i="12"/>
  <c r="AY66" i="12"/>
  <c r="AY67" i="12"/>
  <c r="AY9" i="12"/>
  <c r="AE111" i="12"/>
  <c r="AF111" i="12"/>
  <c r="AG111" i="12"/>
  <c r="AH111" i="12"/>
  <c r="AI111" i="12"/>
  <c r="AJ111" i="12"/>
  <c r="AK111" i="12"/>
  <c r="AL111" i="12"/>
  <c r="AM111" i="12"/>
  <c r="AN111" i="12"/>
  <c r="AC111" i="12"/>
  <c r="F19" i="14"/>
  <c r="J13" i="14"/>
  <c r="J6" i="14" s="1"/>
  <c r="P7" i="14"/>
  <c r="O7" i="14"/>
  <c r="Q108" i="12" l="1"/>
  <c r="Q104" i="12"/>
  <c r="Q102" i="12"/>
  <c r="Q94" i="12"/>
  <c r="Q93" i="12"/>
  <c r="Q92" i="12"/>
  <c r="Q91" i="12"/>
  <c r="Q90" i="12"/>
  <c r="Q89" i="12"/>
  <c r="Q87" i="12"/>
  <c r="Q86" i="12"/>
  <c r="Q85" i="12"/>
  <c r="Q84" i="12"/>
  <c r="Q83" i="12"/>
  <c r="Q82" i="12"/>
  <c r="Q81" i="12"/>
  <c r="Q80" i="12"/>
  <c r="Q79" i="12"/>
  <c r="Q78" i="12"/>
  <c r="Q76" i="12"/>
  <c r="Q75" i="12"/>
  <c r="Q74" i="12"/>
  <c r="Q72" i="12"/>
  <c r="Q71" i="12"/>
  <c r="Q70" i="12"/>
  <c r="Q69" i="12"/>
  <c r="Q68" i="12"/>
  <c r="Q67" i="12"/>
  <c r="Q66" i="12"/>
  <c r="Q65" i="12"/>
  <c r="Q64" i="12"/>
  <c r="Q63" i="12"/>
  <c r="Q62" i="12"/>
  <c r="Q61" i="12"/>
  <c r="Q60" i="12"/>
  <c r="Q59" i="12"/>
  <c r="Q58" i="12"/>
  <c r="Q57" i="12"/>
  <c r="Q56" i="12"/>
  <c r="Q55" i="12"/>
  <c r="Q54" i="12"/>
  <c r="Q53" i="12"/>
  <c r="Q52" i="12"/>
  <c r="Q51" i="12"/>
  <c r="Q50" i="12"/>
  <c r="Q49" i="12"/>
  <c r="Q48" i="12"/>
  <c r="Q47" i="12"/>
  <c r="Q46" i="12"/>
  <c r="Q45" i="12"/>
  <c r="Q44" i="12"/>
  <c r="Q43" i="12"/>
  <c r="Q42" i="12"/>
  <c r="Q41" i="12"/>
  <c r="Q40" i="12"/>
  <c r="Q39" i="12"/>
  <c r="Q38" i="12"/>
  <c r="Q37" i="12"/>
  <c r="Q36" i="12"/>
  <c r="Q35" i="12"/>
  <c r="Q34" i="12"/>
  <c r="Q33" i="12"/>
  <c r="Q32" i="12"/>
  <c r="Q31" i="12"/>
  <c r="Q30" i="12"/>
  <c r="Q29" i="12"/>
  <c r="Q28" i="12"/>
  <c r="Q27" i="12"/>
  <c r="Q26" i="12"/>
  <c r="Q25" i="12"/>
  <c r="Q24" i="12"/>
  <c r="Q23" i="12"/>
  <c r="Q22" i="12"/>
  <c r="Q21" i="12"/>
  <c r="Q20" i="12"/>
  <c r="Q19" i="12"/>
  <c r="Q18" i="12"/>
  <c r="Q17" i="12"/>
  <c r="Q16" i="12"/>
  <c r="Q15" i="12"/>
  <c r="Q14" i="12"/>
  <c r="Q13" i="12"/>
  <c r="Q12" i="12"/>
  <c r="Q11" i="12"/>
  <c r="Q10" i="12"/>
  <c r="Q9" i="12"/>
  <c r="AQ109" i="12"/>
  <c r="AD109" i="12"/>
  <c r="U109" i="12"/>
  <c r="T109" i="12"/>
  <c r="K109" i="12"/>
  <c r="AQ108" i="12"/>
  <c r="AD108" i="12"/>
  <c r="AO108" i="12" s="1"/>
  <c r="U108" i="12"/>
  <c r="T108" i="12"/>
  <c r="K108" i="12"/>
  <c r="AQ107" i="12"/>
  <c r="AD107" i="12"/>
  <c r="AO107" i="12" s="1"/>
  <c r="U107" i="12"/>
  <c r="T107" i="12"/>
  <c r="K107" i="12"/>
  <c r="AQ106" i="12"/>
  <c r="AD106" i="12"/>
  <c r="AO106" i="12" s="1"/>
  <c r="U106" i="12"/>
  <c r="T106" i="12"/>
  <c r="K106" i="12"/>
  <c r="AQ105" i="12"/>
  <c r="AD105" i="12"/>
  <c r="U105" i="12"/>
  <c r="T105" i="12"/>
  <c r="K105" i="12"/>
  <c r="AQ104" i="12"/>
  <c r="AD104" i="12"/>
  <c r="U104" i="12"/>
  <c r="T104" i="12"/>
  <c r="K104" i="12"/>
  <c r="AQ103" i="12"/>
  <c r="AD103" i="12"/>
  <c r="U103" i="12"/>
  <c r="T103" i="12"/>
  <c r="K103" i="12"/>
  <c r="AQ102" i="12"/>
  <c r="AD102" i="12"/>
  <c r="AO102" i="12" s="1"/>
  <c r="U102" i="12"/>
  <c r="T102" i="12"/>
  <c r="K102" i="12"/>
  <c r="AQ101" i="12"/>
  <c r="AD101" i="12"/>
  <c r="AO101" i="12" s="1"/>
  <c r="U101" i="12"/>
  <c r="T101" i="12"/>
  <c r="K101" i="12"/>
  <c r="AQ100" i="12"/>
  <c r="AD100" i="12"/>
  <c r="AO100" i="12" s="1"/>
  <c r="U100" i="12"/>
  <c r="T100" i="12"/>
  <c r="K100" i="12"/>
  <c r="AQ99" i="12"/>
  <c r="AD99" i="12"/>
  <c r="U99" i="12"/>
  <c r="T99" i="12"/>
  <c r="K99" i="12"/>
  <c r="AQ98" i="12"/>
  <c r="AD98" i="12"/>
  <c r="AO98" i="12" s="1"/>
  <c r="U98" i="12"/>
  <c r="T98" i="12"/>
  <c r="K98" i="12"/>
  <c r="AQ97" i="12"/>
  <c r="AD97" i="12"/>
  <c r="U97" i="12"/>
  <c r="T97" i="12"/>
  <c r="K97" i="12"/>
  <c r="AQ96" i="12"/>
  <c r="AD96" i="12"/>
  <c r="AO96" i="12" s="1"/>
  <c r="U96" i="12"/>
  <c r="T96" i="12"/>
  <c r="K96" i="12"/>
  <c r="AQ95" i="12"/>
  <c r="AD95" i="12"/>
  <c r="AO95" i="12" s="1"/>
  <c r="U95" i="12"/>
  <c r="T95" i="12"/>
  <c r="K95" i="12"/>
  <c r="AQ94" i="12"/>
  <c r="AD94" i="12"/>
  <c r="AO94" i="12" s="1"/>
  <c r="U94" i="12"/>
  <c r="T94" i="12"/>
  <c r="K94" i="12"/>
  <c r="AQ93" i="12"/>
  <c r="AD93" i="12"/>
  <c r="U93" i="12"/>
  <c r="T93" i="12"/>
  <c r="K93" i="12"/>
  <c r="AQ92" i="12"/>
  <c r="AD92" i="12"/>
  <c r="AO92" i="12" s="1"/>
  <c r="U92" i="12"/>
  <c r="T92" i="12"/>
  <c r="K92" i="12"/>
  <c r="AQ91" i="12"/>
  <c r="AD91" i="12"/>
  <c r="AO91" i="12" s="1"/>
  <c r="U91" i="12"/>
  <c r="T91" i="12"/>
  <c r="K91" i="12"/>
  <c r="AQ90" i="12"/>
  <c r="AD90" i="12"/>
  <c r="AO90" i="12" s="1"/>
  <c r="U90" i="12"/>
  <c r="T90" i="12"/>
  <c r="K90" i="12"/>
  <c r="AQ89" i="12"/>
  <c r="AD89" i="12"/>
  <c r="AO89" i="12" s="1"/>
  <c r="U89" i="12"/>
  <c r="T89" i="12"/>
  <c r="K89" i="12"/>
  <c r="AQ88" i="12"/>
  <c r="AD88" i="12"/>
  <c r="AO88" i="12" s="1"/>
  <c r="U88" i="12"/>
  <c r="T88" i="12"/>
  <c r="K88" i="12"/>
  <c r="AQ87" i="12"/>
  <c r="AD87" i="12"/>
  <c r="U87" i="12"/>
  <c r="T87" i="12"/>
  <c r="K87" i="12"/>
  <c r="AQ86" i="12"/>
  <c r="AD86" i="12"/>
  <c r="AO86" i="12" s="1"/>
  <c r="U86" i="12"/>
  <c r="T86" i="12"/>
  <c r="K86" i="12"/>
  <c r="AQ85" i="12"/>
  <c r="AD85" i="12"/>
  <c r="AO85" i="12" s="1"/>
  <c r="U85" i="12"/>
  <c r="T85" i="12"/>
  <c r="K85" i="12"/>
  <c r="AQ84" i="12"/>
  <c r="AD84" i="12"/>
  <c r="AO84" i="12" s="1"/>
  <c r="U84" i="12"/>
  <c r="T84" i="12"/>
  <c r="K84" i="12"/>
  <c r="AQ83" i="12"/>
  <c r="AD83" i="12"/>
  <c r="AO83" i="12" s="1"/>
  <c r="U83" i="12"/>
  <c r="T83" i="12"/>
  <c r="K83" i="12"/>
  <c r="AQ82" i="12"/>
  <c r="AD82" i="12"/>
  <c r="AO82" i="12" s="1"/>
  <c r="U82" i="12"/>
  <c r="T82" i="12"/>
  <c r="K82" i="12"/>
  <c r="AQ81" i="12"/>
  <c r="AD81" i="12"/>
  <c r="U81" i="12"/>
  <c r="T81" i="12"/>
  <c r="K81" i="12"/>
  <c r="AQ80" i="12"/>
  <c r="AD80" i="12"/>
  <c r="AO80" i="12" s="1"/>
  <c r="U80" i="12"/>
  <c r="T80" i="12"/>
  <c r="K80" i="12"/>
  <c r="AQ79" i="12"/>
  <c r="AD79" i="12"/>
  <c r="AO79" i="12" s="1"/>
  <c r="U79" i="12"/>
  <c r="T79" i="12"/>
  <c r="K79" i="12"/>
  <c r="AQ78" i="12"/>
  <c r="AD78" i="12"/>
  <c r="AO78" i="12" s="1"/>
  <c r="U78" i="12"/>
  <c r="T78" i="12"/>
  <c r="K78" i="12"/>
  <c r="AQ77" i="12"/>
  <c r="AD77" i="12"/>
  <c r="AO77" i="12" s="1"/>
  <c r="U77" i="12"/>
  <c r="T77" i="12"/>
  <c r="K77" i="12"/>
  <c r="AQ76" i="12"/>
  <c r="AD76" i="12"/>
  <c r="AO76" i="12" s="1"/>
  <c r="U76" i="12"/>
  <c r="T76" i="12"/>
  <c r="K76" i="12"/>
  <c r="AQ75" i="12"/>
  <c r="AD75" i="12"/>
  <c r="U75" i="12"/>
  <c r="T75" i="12"/>
  <c r="K75" i="12"/>
  <c r="AQ74" i="12"/>
  <c r="AD74" i="12"/>
  <c r="AO74" i="12" s="1"/>
  <c r="U74" i="12"/>
  <c r="T74" i="12"/>
  <c r="K74" i="12"/>
  <c r="AQ73" i="12"/>
  <c r="AD73" i="12"/>
  <c r="AO73" i="12" s="1"/>
  <c r="U73" i="12"/>
  <c r="T73" i="12"/>
  <c r="K73" i="12"/>
  <c r="AQ72" i="12"/>
  <c r="AD72" i="12"/>
  <c r="AO72" i="12" s="1"/>
  <c r="U72" i="12"/>
  <c r="T72" i="12"/>
  <c r="K72" i="12"/>
  <c r="AQ71" i="12"/>
  <c r="AD71" i="12"/>
  <c r="AO71" i="12" s="1"/>
  <c r="U71" i="12"/>
  <c r="T71" i="12"/>
  <c r="K71" i="12"/>
  <c r="AQ70" i="12"/>
  <c r="AD70" i="12"/>
  <c r="AO70" i="12" s="1"/>
  <c r="U70" i="12"/>
  <c r="T70" i="12"/>
  <c r="K70" i="12"/>
  <c r="AQ69" i="12"/>
  <c r="AD69" i="12"/>
  <c r="U69" i="12"/>
  <c r="T69" i="12"/>
  <c r="K69" i="12"/>
  <c r="AQ68" i="12"/>
  <c r="AD68" i="12"/>
  <c r="AO68" i="12" s="1"/>
  <c r="U68" i="12"/>
  <c r="T68" i="12"/>
  <c r="K68" i="12"/>
  <c r="AQ67" i="12"/>
  <c r="K67" i="12"/>
  <c r="AD67" i="12" s="1"/>
  <c r="AX67" i="12" s="1"/>
  <c r="AQ66" i="12"/>
  <c r="K66" i="12"/>
  <c r="AD66" i="12" s="1"/>
  <c r="AX66" i="12" s="1"/>
  <c r="AQ65" i="12"/>
  <c r="U65" i="12"/>
  <c r="K65" i="12"/>
  <c r="AD65" i="12" s="1"/>
  <c r="AX65" i="12" s="1"/>
  <c r="AQ64" i="12"/>
  <c r="K64" i="12"/>
  <c r="AD64" i="12" s="1"/>
  <c r="AQ63" i="12"/>
  <c r="U63" i="12"/>
  <c r="K63" i="12"/>
  <c r="AD63" i="12" s="1"/>
  <c r="AX63" i="12" s="1"/>
  <c r="AQ62" i="12"/>
  <c r="K62" i="12"/>
  <c r="AD62" i="12" s="1"/>
  <c r="AQ61" i="12"/>
  <c r="K61" i="12"/>
  <c r="AD61" i="12" s="1"/>
  <c r="AX61" i="12" s="1"/>
  <c r="AQ60" i="12"/>
  <c r="K60" i="12"/>
  <c r="AD60" i="12" s="1"/>
  <c r="AX60" i="12" s="1"/>
  <c r="AQ59" i="12"/>
  <c r="K59" i="12"/>
  <c r="AD59" i="12" s="1"/>
  <c r="AQ58" i="12"/>
  <c r="K58" i="12"/>
  <c r="AD58" i="12" s="1"/>
  <c r="AX58" i="12" s="1"/>
  <c r="AQ57" i="12"/>
  <c r="K57" i="12"/>
  <c r="AD57" i="12" s="1"/>
  <c r="AX57" i="12" s="1"/>
  <c r="AQ56" i="12"/>
  <c r="K56" i="12"/>
  <c r="AD56" i="12" s="1"/>
  <c r="AQ55" i="12"/>
  <c r="U55" i="12"/>
  <c r="T55" i="12"/>
  <c r="S55" i="12"/>
  <c r="K55" i="12"/>
  <c r="AD55" i="12" s="1"/>
  <c r="AX55" i="12" s="1"/>
  <c r="AQ54" i="12"/>
  <c r="AO54" i="12"/>
  <c r="U54" i="12"/>
  <c r="S54" i="12"/>
  <c r="AQ53" i="12"/>
  <c r="K53" i="12"/>
  <c r="AD53" i="12" s="1"/>
  <c r="AX53" i="12" s="1"/>
  <c r="AQ52" i="12"/>
  <c r="K52" i="12"/>
  <c r="AD52" i="12" s="1"/>
  <c r="AQ51" i="12"/>
  <c r="S51" i="12"/>
  <c r="K51" i="12"/>
  <c r="AD51" i="12" s="1"/>
  <c r="AX51" i="12" s="1"/>
  <c r="AQ50" i="12"/>
  <c r="K50" i="12"/>
  <c r="AD50" i="12" s="1"/>
  <c r="AX50" i="12" s="1"/>
  <c r="AQ49" i="12"/>
  <c r="K49" i="12"/>
  <c r="AD49" i="12" s="1"/>
  <c r="AQ48" i="12"/>
  <c r="U48" i="12"/>
  <c r="S48" i="12"/>
  <c r="K48" i="12"/>
  <c r="AD48" i="12" s="1"/>
  <c r="AX48" i="12" s="1"/>
  <c r="AQ47" i="12"/>
  <c r="U47" i="12"/>
  <c r="S47" i="12"/>
  <c r="K47" i="12"/>
  <c r="AD47" i="12" s="1"/>
  <c r="AX47" i="12" s="1"/>
  <c r="AQ46" i="12"/>
  <c r="U46" i="12"/>
  <c r="T46" i="12"/>
  <c r="S46" i="12"/>
  <c r="R46" i="12"/>
  <c r="K46" i="12"/>
  <c r="AD46" i="12" s="1"/>
  <c r="AX46" i="12" s="1"/>
  <c r="AQ45" i="12"/>
  <c r="S45" i="12"/>
  <c r="K45" i="12"/>
  <c r="AD45" i="12" s="1"/>
  <c r="AQ44" i="12"/>
  <c r="S44" i="12"/>
  <c r="K44" i="12"/>
  <c r="AD44" i="12" s="1"/>
  <c r="AX44" i="12" s="1"/>
  <c r="AQ43" i="12"/>
  <c r="S43" i="12"/>
  <c r="K43" i="12"/>
  <c r="AD43" i="12" s="1"/>
  <c r="AQ42" i="12"/>
  <c r="K42" i="12"/>
  <c r="AD42" i="12" s="1"/>
  <c r="AX42" i="12" s="1"/>
  <c r="AQ41" i="12"/>
  <c r="K41" i="12"/>
  <c r="AD41" i="12" s="1"/>
  <c r="AX41" i="12" s="1"/>
  <c r="AQ40" i="12"/>
  <c r="K40" i="12"/>
  <c r="AD40" i="12" s="1"/>
  <c r="AQ39" i="12"/>
  <c r="U39" i="12"/>
  <c r="K39" i="12"/>
  <c r="AD39" i="12" s="1"/>
  <c r="AX39" i="12" s="1"/>
  <c r="AQ38" i="12"/>
  <c r="K38" i="12"/>
  <c r="AD38" i="12" s="1"/>
  <c r="AX38" i="12" s="1"/>
  <c r="AQ37" i="12"/>
  <c r="U37" i="12"/>
  <c r="K37" i="12"/>
  <c r="AD37" i="12" s="1"/>
  <c r="AQ36" i="12"/>
  <c r="U36" i="12"/>
  <c r="S36" i="12"/>
  <c r="K36" i="12"/>
  <c r="AD36" i="12" s="1"/>
  <c r="AX36" i="12" s="1"/>
  <c r="AQ35" i="12"/>
  <c r="U35" i="12"/>
  <c r="K35" i="12"/>
  <c r="AD35" i="12" s="1"/>
  <c r="AX35" i="12" s="1"/>
  <c r="AQ34" i="12"/>
  <c r="K34" i="12"/>
  <c r="AD34" i="12" s="1"/>
  <c r="AX34" i="12" s="1"/>
  <c r="AQ33" i="12"/>
  <c r="K33" i="12"/>
  <c r="AD33" i="12" s="1"/>
  <c r="AQ32" i="12"/>
  <c r="K32" i="12"/>
  <c r="AD32" i="12" s="1"/>
  <c r="AX32" i="12" s="1"/>
  <c r="AQ31" i="12"/>
  <c r="K31" i="12"/>
  <c r="AD31" i="12" s="1"/>
  <c r="AX31" i="12" s="1"/>
  <c r="AQ30" i="12"/>
  <c r="K30" i="12"/>
  <c r="AD30" i="12" s="1"/>
  <c r="AQ29" i="12"/>
  <c r="U29" i="12"/>
  <c r="S29" i="12"/>
  <c r="K29" i="12"/>
  <c r="AD29" i="12" s="1"/>
  <c r="AX29" i="12" s="1"/>
  <c r="AQ28" i="12"/>
  <c r="AD28" i="12"/>
  <c r="U28" i="12"/>
  <c r="T28" i="12"/>
  <c r="S28" i="12"/>
  <c r="R28" i="12"/>
  <c r="AQ27" i="12"/>
  <c r="S27" i="12"/>
  <c r="K27" i="12"/>
  <c r="AD27" i="12" s="1"/>
  <c r="AX27" i="12" s="1"/>
  <c r="AQ26" i="12"/>
  <c r="K26" i="12"/>
  <c r="AD26" i="12" s="1"/>
  <c r="AX26" i="12" s="1"/>
  <c r="AQ25" i="12"/>
  <c r="K25" i="12"/>
  <c r="AD25" i="12" s="1"/>
  <c r="AX25" i="12" s="1"/>
  <c r="AQ24" i="12"/>
  <c r="K24" i="12"/>
  <c r="AD24" i="12" s="1"/>
  <c r="AQ23" i="12"/>
  <c r="K23" i="12"/>
  <c r="AD23" i="12" s="1"/>
  <c r="AX23" i="12" s="1"/>
  <c r="AQ22" i="12"/>
  <c r="K22" i="12"/>
  <c r="AD22" i="12" s="1"/>
  <c r="AX22" i="12" s="1"/>
  <c r="AQ21" i="12"/>
  <c r="K21" i="12"/>
  <c r="AD21" i="12" s="1"/>
  <c r="AQ20" i="12"/>
  <c r="K20" i="12"/>
  <c r="AD20" i="12" s="1"/>
  <c r="AX20" i="12" s="1"/>
  <c r="AQ19" i="12"/>
  <c r="K19" i="12"/>
  <c r="AD19" i="12" s="1"/>
  <c r="AX19" i="12" s="1"/>
  <c r="AQ18" i="12"/>
  <c r="K18" i="12"/>
  <c r="AD18" i="12" s="1"/>
  <c r="AQ17" i="12"/>
  <c r="K17" i="12"/>
  <c r="AD17" i="12" s="1"/>
  <c r="AX17" i="12" s="1"/>
  <c r="AQ16" i="12"/>
  <c r="K16" i="12"/>
  <c r="AD16" i="12" s="1"/>
  <c r="AX16" i="12" s="1"/>
  <c r="AQ15" i="12"/>
  <c r="U15" i="12"/>
  <c r="K15" i="12"/>
  <c r="AD15" i="12" s="1"/>
  <c r="AX15" i="12" s="1"/>
  <c r="AQ14" i="12"/>
  <c r="K14" i="12"/>
  <c r="AD14" i="12" s="1"/>
  <c r="AX14" i="12" s="1"/>
  <c r="AQ13" i="12"/>
  <c r="K13" i="12"/>
  <c r="AD13" i="12" s="1"/>
  <c r="AQ12" i="12"/>
  <c r="K12" i="12"/>
  <c r="AD12" i="12" s="1"/>
  <c r="AX12" i="12" s="1"/>
  <c r="AQ11" i="12"/>
  <c r="K11" i="12"/>
  <c r="AD11" i="12" s="1"/>
  <c r="AX11" i="12" s="1"/>
  <c r="AQ10" i="12"/>
  <c r="K10" i="12"/>
  <c r="AD10" i="12" s="1"/>
  <c r="AX10" i="12" s="1"/>
  <c r="AQ9" i="12"/>
  <c r="K9" i="12"/>
  <c r="AD9" i="12" s="1"/>
  <c r="AO21" i="12" l="1"/>
  <c r="AS21" i="12" s="1"/>
  <c r="AT21" i="12" s="1"/>
  <c r="AX21" i="12"/>
  <c r="AO30" i="12"/>
  <c r="AS30" i="12" s="1"/>
  <c r="AT30" i="12" s="1"/>
  <c r="AX30" i="12"/>
  <c r="AO40" i="12"/>
  <c r="AX40" i="12"/>
  <c r="AO45" i="12"/>
  <c r="AX45" i="12"/>
  <c r="AO52" i="12"/>
  <c r="AS52" i="12" s="1"/>
  <c r="AT52" i="12" s="1"/>
  <c r="AX52" i="12"/>
  <c r="AO59" i="12"/>
  <c r="AS59" i="12" s="1"/>
  <c r="AT59" i="12" s="1"/>
  <c r="AX59" i="12"/>
  <c r="AO9" i="12"/>
  <c r="AS9" i="12" s="1"/>
  <c r="AT9" i="12" s="1"/>
  <c r="AX9" i="12"/>
  <c r="AD111" i="12"/>
  <c r="AO56" i="12"/>
  <c r="AS56" i="12" s="1"/>
  <c r="AT56" i="12" s="1"/>
  <c r="AX56" i="12"/>
  <c r="AO62" i="12"/>
  <c r="AX62" i="12"/>
  <c r="AO18" i="12"/>
  <c r="AS18" i="12" s="1"/>
  <c r="AT18" i="12" s="1"/>
  <c r="AX18" i="12"/>
  <c r="AO24" i="12"/>
  <c r="AS24" i="12" s="1"/>
  <c r="AT24" i="12" s="1"/>
  <c r="AX24" i="12"/>
  <c r="AO37" i="12"/>
  <c r="AS37" i="12" s="1"/>
  <c r="AT37" i="12" s="1"/>
  <c r="AX37" i="12"/>
  <c r="AO13" i="12"/>
  <c r="AS13" i="12" s="1"/>
  <c r="AT13" i="12" s="1"/>
  <c r="AX13" i="12"/>
  <c r="AO28" i="12"/>
  <c r="AS28" i="12" s="1"/>
  <c r="AT28" i="12" s="1"/>
  <c r="AX28" i="12"/>
  <c r="AO33" i="12"/>
  <c r="AS33" i="12" s="1"/>
  <c r="AT33" i="12" s="1"/>
  <c r="AX33" i="12"/>
  <c r="AO49" i="12"/>
  <c r="AS49" i="12" s="1"/>
  <c r="AT49" i="12" s="1"/>
  <c r="AX49" i="12"/>
  <c r="AO43" i="12"/>
  <c r="AS43" i="12" s="1"/>
  <c r="AT43" i="12" s="1"/>
  <c r="AX43" i="12"/>
  <c r="AO64" i="12"/>
  <c r="AS64" i="12" s="1"/>
  <c r="AT64" i="12" s="1"/>
  <c r="AX64" i="12"/>
  <c r="AS107" i="12"/>
  <c r="AT107" i="12" s="1"/>
  <c r="AS70" i="12"/>
  <c r="AT70" i="12" s="1"/>
  <c r="AS82" i="12"/>
  <c r="AT82" i="12" s="1"/>
  <c r="AS100" i="12"/>
  <c r="AT100" i="12" s="1"/>
  <c r="AS98" i="12"/>
  <c r="AT98" i="12" s="1"/>
  <c r="AS108" i="12"/>
  <c r="AT108" i="12" s="1"/>
  <c r="AS94" i="12"/>
  <c r="AT94" i="12" s="1"/>
  <c r="AS40" i="12"/>
  <c r="AT40" i="12" s="1"/>
  <c r="AS62" i="12"/>
  <c r="AT62" i="12" s="1"/>
  <c r="AS89" i="12"/>
  <c r="AT89" i="12" s="1"/>
  <c r="AS54" i="12"/>
  <c r="AT54" i="12" s="1"/>
  <c r="AS68" i="12"/>
  <c r="AT68" i="12" s="1"/>
  <c r="AS80" i="12"/>
  <c r="AT80" i="12" s="1"/>
  <c r="AS78" i="12"/>
  <c r="AT78" i="12" s="1"/>
  <c r="AS72" i="12"/>
  <c r="AT72" i="12" s="1"/>
  <c r="AS86" i="12"/>
  <c r="AT86" i="12" s="1"/>
  <c r="AS96" i="12"/>
  <c r="AT96" i="12" s="1"/>
  <c r="AS73" i="12"/>
  <c r="AT73" i="12" s="1"/>
  <c r="AS101" i="12"/>
  <c r="AT101" i="12" s="1"/>
  <c r="AS106" i="12"/>
  <c r="AT106" i="12" s="1"/>
  <c r="AS71" i="12"/>
  <c r="AT71" i="12" s="1"/>
  <c r="AS45" i="12"/>
  <c r="AT45" i="12" s="1"/>
  <c r="AS74" i="12"/>
  <c r="AT74" i="12" s="1"/>
  <c r="AS95" i="12"/>
  <c r="AT95" i="12" s="1"/>
  <c r="AS102" i="12"/>
  <c r="AT102" i="12" s="1"/>
  <c r="AS76" i="12"/>
  <c r="AT76" i="12" s="1"/>
  <c r="AS83" i="12"/>
  <c r="AT83" i="12" s="1"/>
  <c r="AS92" i="12"/>
  <c r="AT92" i="12" s="1"/>
  <c r="AS79" i="12"/>
  <c r="AT79" i="12" s="1"/>
  <c r="AS88" i="12"/>
  <c r="AT88" i="12" s="1"/>
  <c r="AS77" i="12"/>
  <c r="AT77" i="12" s="1"/>
  <c r="AS90" i="12"/>
  <c r="AT90" i="12" s="1"/>
  <c r="AS84" i="12"/>
  <c r="AT84" i="12" s="1"/>
  <c r="AS91" i="12"/>
  <c r="AT91" i="12" s="1"/>
  <c r="AS85" i="12"/>
  <c r="AT85" i="12" s="1"/>
  <c r="AO12" i="12"/>
  <c r="AS12" i="12" s="1"/>
  <c r="AT12" i="12" s="1"/>
  <c r="AO22" i="12"/>
  <c r="AS22" i="12" s="1"/>
  <c r="AT22" i="12" s="1"/>
  <c r="AO42" i="12"/>
  <c r="AS42" i="12" s="1"/>
  <c r="AT42" i="12" s="1"/>
  <c r="AO57" i="12"/>
  <c r="AS57" i="12" s="1"/>
  <c r="AT57" i="12" s="1"/>
  <c r="AO19" i="12"/>
  <c r="AS19" i="12" s="1"/>
  <c r="AT19" i="12" s="1"/>
  <c r="AO39" i="12"/>
  <c r="AS39" i="12" s="1"/>
  <c r="AT39" i="12" s="1"/>
  <c r="AO61" i="12"/>
  <c r="AS61" i="12" s="1"/>
  <c r="AT61" i="12" s="1"/>
  <c r="AO16" i="12"/>
  <c r="AS16" i="12" s="1"/>
  <c r="AT16" i="12" s="1"/>
  <c r="AO47" i="12"/>
  <c r="AS47" i="12" s="1"/>
  <c r="AT47" i="12" s="1"/>
  <c r="AO50" i="12"/>
  <c r="AS50" i="12" s="1"/>
  <c r="AT50" i="12" s="1"/>
  <c r="AO55" i="12"/>
  <c r="AS55" i="12" s="1"/>
  <c r="AT55" i="12" s="1"/>
  <c r="AO58" i="12"/>
  <c r="AS58" i="12" s="1"/>
  <c r="AT58" i="12" s="1"/>
  <c r="AO29" i="12"/>
  <c r="AS29" i="12" s="1"/>
  <c r="AT29" i="12" s="1"/>
  <c r="AO14" i="12"/>
  <c r="AS14" i="12" s="1"/>
  <c r="AT14" i="12" s="1"/>
  <c r="AO32" i="12"/>
  <c r="AS32" i="12" s="1"/>
  <c r="AT32" i="12" s="1"/>
  <c r="AO46" i="12"/>
  <c r="AS46" i="12" s="1"/>
  <c r="AT46" i="12" s="1"/>
  <c r="AO48" i="12"/>
  <c r="AS48" i="12" s="1"/>
  <c r="AT48" i="12" s="1"/>
  <c r="AO26" i="12"/>
  <c r="AS26" i="12" s="1"/>
  <c r="AT26" i="12" s="1"/>
  <c r="AO31" i="12"/>
  <c r="AS31" i="12" s="1"/>
  <c r="AT31" i="12" s="1"/>
  <c r="AO53" i="12"/>
  <c r="AS53" i="12" s="1"/>
  <c r="AT53" i="12" s="1"/>
  <c r="AO35" i="12"/>
  <c r="AS35" i="12" s="1"/>
  <c r="AT35" i="12" s="1"/>
  <c r="AO63" i="12"/>
  <c r="AS63" i="12" s="1"/>
  <c r="AT63" i="12" s="1"/>
  <c r="AO51" i="12"/>
  <c r="AS51" i="12" s="1"/>
  <c r="AT51" i="12" s="1"/>
  <c r="AO11" i="12"/>
  <c r="AS11" i="12" s="1"/>
  <c r="AT11" i="12" s="1"/>
  <c r="AO41" i="12"/>
  <c r="AS41" i="12" s="1"/>
  <c r="AT41" i="12" s="1"/>
  <c r="AO38" i="12"/>
  <c r="AS38" i="12" s="1"/>
  <c r="AT38" i="12" s="1"/>
  <c r="AO60" i="12"/>
  <c r="AS60" i="12" s="1"/>
  <c r="AT60" i="12" s="1"/>
  <c r="AO66" i="12"/>
  <c r="AS66" i="12" s="1"/>
  <c r="AT66" i="12" s="1"/>
  <c r="AO23" i="12"/>
  <c r="AS23" i="12" s="1"/>
  <c r="AT23" i="12" s="1"/>
  <c r="AO34" i="12"/>
  <c r="AS34" i="12" s="1"/>
  <c r="AT34" i="12" s="1"/>
  <c r="AO20" i="12"/>
  <c r="AS20" i="12" s="1"/>
  <c r="AT20" i="12" s="1"/>
  <c r="AO17" i="12"/>
  <c r="AS17" i="12" s="1"/>
  <c r="AT17" i="12" s="1"/>
  <c r="AO44" i="12"/>
  <c r="AS44" i="12" s="1"/>
  <c r="AT44" i="12" s="1"/>
  <c r="AO15" i="12"/>
  <c r="AS15" i="12" s="1"/>
  <c r="AT15" i="12" s="1"/>
  <c r="AO25" i="12"/>
  <c r="AS25" i="12" s="1"/>
  <c r="AT25" i="12" s="1"/>
  <c r="AO36" i="12"/>
  <c r="AS36" i="12" s="1"/>
  <c r="AT36" i="12" s="1"/>
  <c r="AO65" i="12"/>
  <c r="AS65" i="12" s="1"/>
  <c r="AT65" i="12" s="1"/>
  <c r="AO10" i="12"/>
  <c r="AO69" i="12"/>
  <c r="AS69" i="12" s="1"/>
  <c r="AT69" i="12" s="1"/>
  <c r="AO75" i="12"/>
  <c r="AS75" i="12" s="1"/>
  <c r="AT75" i="12" s="1"/>
  <c r="AO81" i="12"/>
  <c r="AS81" i="12" s="1"/>
  <c r="AT81" i="12" s="1"/>
  <c r="AO87" i="12"/>
  <c r="AS87" i="12" s="1"/>
  <c r="AT87" i="12" s="1"/>
  <c r="AO93" i="12"/>
  <c r="AS93" i="12" s="1"/>
  <c r="AT93" i="12" s="1"/>
  <c r="AO99" i="12"/>
  <c r="AS99" i="12" s="1"/>
  <c r="AT99" i="12" s="1"/>
  <c r="AO105" i="12"/>
  <c r="AS105" i="12" s="1"/>
  <c r="AT105" i="12" s="1"/>
  <c r="AO104" i="12"/>
  <c r="AS104" i="12" s="1"/>
  <c r="AT104" i="12" s="1"/>
  <c r="AO67" i="12"/>
  <c r="AS67" i="12" s="1"/>
  <c r="AT67" i="12" s="1"/>
  <c r="AO97" i="12"/>
  <c r="AS97" i="12" s="1"/>
  <c r="AT97" i="12" s="1"/>
  <c r="AO103" i="12"/>
  <c r="AS103" i="12" s="1"/>
  <c r="AT103" i="12" s="1"/>
  <c r="AO109" i="12"/>
  <c r="AS109" i="12" s="1"/>
  <c r="AT109" i="12" s="1"/>
  <c r="AO27" i="12"/>
  <c r="AS27" i="12" s="1"/>
  <c r="AT27" i="12" s="1"/>
  <c r="AS10" i="12" l="1"/>
  <c r="AT10" i="12" s="1"/>
  <c r="AO111"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tc={F2DC554A-42E2-48EF-BE04-91DD052C273C}</author>
    <author>tc={038F52E0-774A-4BD6-8678-DCA155A20886}</author>
    <author>tc={7FB221FC-C092-48A5-BAEA-439C23955DCE}</author>
    <author>tc={FA2FCA03-5D05-4591-AC50-562C9B96568E}</author>
    <author>tc={D0DD01FB-E9AA-4F86-BEA1-26575E527768}</author>
    <author>tc={C6A0202F-C525-4A7E-9713-9C0A0AC52BF3}</author>
    <author>tc={0EBDD631-A194-44AE-BB94-C759C924E0E6}</author>
  </authors>
  <commentList>
    <comment ref="R30" authorId="0" shapeId="0" xr:uid="{F2DC554A-42E2-48EF-BE04-91DD052C273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@Faisyal Amir tolong recheck last oil rate di KOPAR-00014 .  3936 ?
Reply:
    Kita buat #N/A aja</t>
      </text>
    </comment>
    <comment ref="J36" authorId="1" shapeId="0" xr:uid="{038F52E0-774A-4BD6-8678-DCA155A20886}">
      <text>
        <t xml:space="preserve">[Threaded comment]
Your version of Excel allows you to read this threaded comment; however, any edits to it will get removed if the file is opened in a newer version of Excel. Learn more: https://go.microsoft.com/fwlink/?linkid=870924
Comment:
    Potential NZBP exist reference kopar 31, need C/O log to see current So or run cased hole log
</t>
      </text>
    </comment>
    <comment ref="AD45" authorId="2" shapeId="0" xr:uid="{7FB221FC-C092-48A5-BAEA-439C23955DCE}">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@Faisyal Amir scoring rerserve ini berapa </t>
      </text>
    </comment>
    <comment ref="AD54" authorId="3" shapeId="0" xr:uid="{FA2FCA03-5D05-4591-AC50-562C9B96568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@Faisyal Amir angkanya beneran 5 ini syal
Reply:
    aku ubah jadi 3 utk by default no data</t>
      </text>
    </comment>
    <comment ref="I56" authorId="4" shapeId="0" xr:uid="{D0DD01FB-E9AA-4F86-BEA1-26575E527768}">
      <text>
        <t>[Threaded comment]
Your version of Excel allows you to read this threaded comment; however, any edits to it will get removed if the file is opened in a newer version of Excel. Learn more: https://go.microsoft.com/fwlink/?linkid=870924
Comment:
    Might be Attic oil</t>
      </text>
    </comment>
    <comment ref="AC59" authorId="5" shapeId="0" xr:uid="{C6A0202F-C525-4A7E-9713-9C0A0AC52BF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@Faisyal Amir  oil gainnya bener syal 5 syal
Reply:
    aku ubah jadi 1, mengingat no remaining reserves untuk existing zone dan no NZBP</t>
      </text>
    </comment>
    <comment ref="AF59" authorId="6" shapeId="0" xr:uid="{0EBDD631-A194-44AE-BB94-C759C924E0E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@Faisyal Amir angka ini bener gak ya om
Reply:
    aku ubah jadi 1, karena last test apr 15 : 0.9 BOPD at 99.95% WC (1796 BFPD)</t>
      </text>
    </comment>
  </commentList>
</comments>
</file>

<file path=xl/sharedStrings.xml><?xml version="1.0" encoding="utf-8"?>
<sst xmlns="http://schemas.openxmlformats.org/spreadsheetml/2006/main" count="2265" uniqueCount="1418">
  <si>
    <t>Master Idle Well Database and Scoring</t>
  </si>
  <si>
    <t>Phase 01 Project - Idle Well Screening &amp; Low-Cost Revitalization Rokan Zone</t>
  </si>
  <si>
    <t>No</t>
  </si>
  <si>
    <t>Well Identification</t>
  </si>
  <si>
    <t>Last Production Data</t>
  </si>
  <si>
    <t>Well Configuration</t>
  </si>
  <si>
    <t>Operational Context</t>
  </si>
  <si>
    <t>1-5 Parameter Scores (see Scoring Rubric)</t>
  </si>
  <si>
    <t>Calculated Results</t>
  </si>
  <si>
    <t>Key Finding</t>
  </si>
  <si>
    <t>Well Name</t>
  </si>
  <si>
    <t>Operator</t>
  </si>
  <si>
    <t>Coordinates</t>
  </si>
  <si>
    <t>Field</t>
  </si>
  <si>
    <t>Reservoir / Zone</t>
  </si>
  <si>
    <t>Perforation Sand</t>
  </si>
  <si>
    <t>Developed Reserved Producing-Volumetric (MBO)</t>
  </si>
  <si>
    <t>Developed Reserves Unproducing-Volumetric-NZBP (MBO)</t>
  </si>
  <si>
    <t>Existing + NZBP reserves</t>
  </si>
  <si>
    <t xml:space="preserve">Initial Productivity Index </t>
  </si>
  <si>
    <t>Last Productivity Index</t>
  </si>
  <si>
    <t>Well Status</t>
  </si>
  <si>
    <t>Well Trajectory Type</t>
  </si>
  <si>
    <t>Last Prod/Active  Date</t>
  </si>
  <si>
    <t>Idle Years</t>
  </si>
  <si>
    <t xml:space="preserve">Last Oil Rate </t>
  </si>
  <si>
    <t>Water Cut</t>
  </si>
  <si>
    <t>Completion Type</t>
  </si>
  <si>
    <t>Artificial Lift</t>
  </si>
  <si>
    <t>Integrity Status</t>
  </si>
  <si>
    <t>Shutdown Reason</t>
  </si>
  <si>
    <t>Well Classification</t>
  </si>
  <si>
    <t>Location Access</t>
  </si>
  <si>
    <t>Existing Facility</t>
  </si>
  <si>
    <t>X</t>
  </si>
  <si>
    <t>Y</t>
  </si>
  <si>
    <t>Last Oil Rate (BOPD)</t>
  </si>
  <si>
    <t>Remarks</t>
  </si>
  <si>
    <t>Last Water Cut (%)</t>
  </si>
  <si>
    <t>Oil Gain</t>
  </si>
  <si>
    <t>Reserve</t>
  </si>
  <si>
    <t>Res Pressure</t>
  </si>
  <si>
    <t>Integrity</t>
  </si>
  <si>
    <t>Interv Cost</t>
  </si>
  <si>
    <t>Access</t>
  </si>
  <si>
    <t>WO Complexity</t>
  </si>
  <si>
    <t>PI</t>
  </si>
  <si>
    <t>Data Completeess</t>
  </si>
  <si>
    <t>Art Lift</t>
  </si>
  <si>
    <t>Compartment</t>
  </si>
  <si>
    <t>Weighted Score (0-100)</t>
  </si>
  <si>
    <t>HSE KO</t>
  </si>
  <si>
    <t>Integrity KO</t>
  </si>
  <si>
    <t>Facility KO</t>
  </si>
  <si>
    <t>Tier</t>
  </si>
  <si>
    <t>Recommendation</t>
  </si>
  <si>
    <t>Reservoir Aspect</t>
  </si>
  <si>
    <t>WBI Aspect</t>
  </si>
  <si>
    <t>Bangko-00014</t>
  </si>
  <si>
    <t xml:space="preserve">Pertamina Hulu Rokan </t>
  </si>
  <si>
    <t>Bangko Field</t>
  </si>
  <si>
    <t>Duri Fm(6)</t>
  </si>
  <si>
    <t>1600 sd, 1710 sd, 1740 sd</t>
  </si>
  <si>
    <t>Idle</t>
  </si>
  <si>
    <t>Vertical</t>
  </si>
  <si>
    <t>61.4 BOPD (at 3,612 BFPD total fluid)</t>
  </si>
  <si>
    <t>98% (well file summary: 98.3%)</t>
  </si>
  <si>
    <t>Cased hole, multi-zone perforated. 7" casing, 23 lb/ft to 1,827 ft. 3.5" production tubing.</t>
  </si>
  <si>
    <t>ESP FC650 / 93 stages / 50 HP / Alliance unit, set at 1,674 ft, BOM at 1,691 ft. Installed December 2003. Current condition unknown.</t>
  </si>
  <si>
    <t>Moderate. CBL noted GOOD at last WO (Dec 2003). MOD G packer set at 1,700 ft. No casing survey since 1989. No current integrity test available. PBTD accessibility unconfirmed after 20+ years idle.</t>
  </si>
  <si>
    <t>High water cut / pump condition</t>
  </si>
  <si>
    <t>Oil producer (idle). Knockout risk on water cut. Standard producer in active waterflood pattern.</t>
  </si>
  <si>
    <t>Established onshore field, Riau Province. Year-round road access confirmed by WO records. Hercules-type wellhead installed.</t>
  </si>
  <si>
    <t>Bangko gathering system (CPI operated). Separator and water handling facility in service. Active offset wells BO066, BO067, BO130, BO205, BO233 confirm system is live.</t>
  </si>
  <si>
    <t>Well BO014 (BNKO00014 / O-W1-44) is an idle ESP-equipped producer in the Bangko Field that has been shut in since September 2005 due to high water cut and pump failure, with the last well test recording 98% WC on all open completions — a confirmed knockout condition under the screening criteria. The primary producing interval (1600 SD) is likely depleted based on offset well BO233 results, and the 1740 SD tested dry across multiple attempts, leaving the 1710 SD sand (1,725–1,760 ft) as the only viable reactivation target, supported by a November 2000 swab test that showed oil flow at 86% WC with a FAP estimate of 100–150 BOPD on file. The overall screening score of 29/60 (average 2.42) places this well at LOW priority with a knockout risk, and the realistic post-workover oil rate from the 1710 SD is estimated at only 10–30 BOPD — a marginal economic case that does not justify a workover commitment unless an RST/PNL confirms residual oil saturation in the 1710 SD, a current integrity survey clears the wellbore and ESP hardware after 20+ years idle, and a formal nodal analysis confirms the rate clears the economic threshold</t>
  </si>
  <si>
    <t>Bangko-00149</t>
  </si>
  <si>
    <t>NA</t>
  </si>
  <si>
    <t>4.6 BOPD (calculated). Last active month March 2013: ALLOC_OIL = 68.49 Bbls over 15 production days. Daily rate = 68.49 / 15 = 4.6 BOPD.</t>
  </si>
  <si>
    <t>99.8% (calculated). Last active month March 2013: ALLOC_OIL = 68.49 Bbls, ALLOC_WTR = 33,377.45 Bbls over 15 days. Daily oil = 4.6 BOPD, daily water = 2,225.2 BWPD, total fluid = 2,229.7 BFPD. WC = 2,225.2 / 2,229.7 = 99.8%. Same result for February 2013 (row 10).</t>
  </si>
  <si>
    <t>NA. No well file or completion record in provided dataset.</t>
  </si>
  <si>
    <t>NA. No completion or WO record available. Given Bangko Field context and the very high fluid rate (2,229 BFPD at last active month), ESP is the most probable lift type, but this is an inference only.</t>
  </si>
  <si>
    <t>NA. No casing, tubing, or CBL data in provided files.</t>
  </si>
  <si>
    <t>Not documented. Most probable cause based on production data is uneconomic oil rate at very high water cut (99.8% WC, 4.6 BOPD). However, pump failure, surface line issue, or other operational cause cannot be excluded.</t>
  </si>
  <si>
    <t>Producer (oil producer, Bangko Field). Allocation data confirms oil and water production only, no injection volumes recorded.</t>
  </si>
  <si>
    <t>Bangko Field, Riau, Sumatera. Same field as BO014. No specific well coordinates available in provided files.</t>
  </si>
  <si>
    <t>Bangko Field gathering system. Same field infrastructure context as BO014. No specific facility allocation or flowline data available for BO149 in provided files.</t>
  </si>
  <si>
    <t xml:space="preserve"> BO149 is a long-life Bangko Field producer with a production history spanning from at least late 1997 through March 2013, with a peak monthly oil allocation of approximately 4,741 Bbls in October 2006, but by the time it was shut in, the well had declined to just 4.6 BOPD at a calculated water cut of 99.8%, producing 2,229 BFPD total fluid of which only 68 Bbls of oil was recovered over 15 active days in its final producing month. The well has been idle since April 2013, now over 13 years, and the production data alone suggests the shutdown was driven by uneconomic oil rate at extreme water cut rather than a mechanical failure, though this cannot be confirmed because no well file, completion record, workover history, perforation data, integrity log, or well test data was provided in this dataset. This data absence is the single most critical problem: without knowing the reservoir zone, completion type, artificial lift condition, and wellbore integrity status, it is impossible to reliably assess whether BO149 has any reactivation potential, whether a behind-pipe or by-passed zone exists, or what intervention scope would be required, and the entire well file must be retrieved from the CPI operator data room before this well can advance beyond a preliminary idle well flag.</t>
  </si>
  <si>
    <t>Benar-00010</t>
  </si>
  <si>
    <t>Benar Field</t>
  </si>
  <si>
    <t>Duri Fm(1)</t>
  </si>
  <si>
    <t>2300 sd</t>
  </si>
  <si>
    <t>13.4 BOPD (414.94 bbl / 31 days)</t>
  </si>
  <si>
    <t>For Benar-00010, the water cut of 99.3% was calculated directly from the production allocation data, with total fluid at 64,834 bbl and oil at only 414.94 bbl in January 2000. The primary perforations at 2321-2336 ft are fully water-flooded.</t>
  </si>
  <si>
    <t>Cased hole / Single zone</t>
  </si>
  <si>
    <t>OE Tubing – GN3100 pump, last installed 2251 ft; 20 jts still in hole</t>
  </si>
  <si>
    <t>Casing caliper 2004; CBL-VDL Jan 2017 (partial data); no active integrity failure reported</t>
  </si>
  <si>
    <t>Watered out (100% WC); shut-in Nov 2004</t>
  </si>
  <si>
    <t>Oil Producer – Vertical</t>
  </si>
  <si>
    <t>Moderate – road access via Bangko field area</t>
  </si>
  <si>
    <t>N. Sintong-Benar facility – separator / water handling available</t>
  </si>
  <si>
    <t>The well has been converted in to observation well since 2004 for study purposes, the historical well  data  and connectivity are  accepted. Potential attractive gain  might achieved by applying new possible applicable technology, making reclassification to tier 2 if water shutoff and reservoir pressure data confirm manageable conditions
The Sep 1996 fishing history is the primary unresolved integrity item. The fishing job report documents: fish at 1,479 ft with no recovery from overshot; fish re-tagged at 1,979 ft; severe overpull (10,000 lb dragging, 500 lb); broken REDA cable; stuck pump rotation. The subsequent WO in 2000 set a new ESP at 2,227 ft and the 2004 WO ran to PBTD 2,407 ft without documenting an active obstruction, suggesting either the fish was pushed below the perforations or settled in the rathole. Cement integrity at 2,448 ft (plug back) was established at completion in 1975 with a 1,000 psi test. No post-production CBL is available to confirm whether cement isolation has been maintained across the 50 years since completion. The 7" casing was scraped in 1996, which is a positive indicator that no severe casing deformation was present at that time at the scraping depths.</t>
  </si>
  <si>
    <t>Balam SE-00020</t>
  </si>
  <si>
    <t>Balam South East Field</t>
  </si>
  <si>
    <t>Menggala Fm(1)</t>
  </si>
  <si>
    <t>3280-3290 sd(P3 Zone)</t>
  </si>
  <si>
    <t>~3 BOPD (rapidly declined from 30.4 BOPD in Jul-2014)</t>
  </si>
  <si>
    <t>For Balam SE-00020, water cut escalated rapidly over just three months. It went from 99.1% in July 2014 to 99.7% in August 2014, and hit 99.9% by October 2014. The PE confirmed water conning from perforations near the water-oil contact in the MN3160 Menggala sand at 3280-3290 ft. The last recorded well test on 10 August 2014 confirmed 100% water cut on the combined tes</t>
  </si>
  <si>
    <t>Cased hole, single zone, 7" prod csg K-55 @ 3596 ft</t>
  </si>
  <si>
    <t>ESP (DN750/133 stages/38HP; last run Jan 2009)</t>
  </si>
  <si>
    <t>No critical casing failure noted. Flowline corrosion failure Nov 2014 (surface). CBL available.</t>
  </si>
  <si>
    <t>Flowline/surface pipe corrosion failure; water conning into MN3280 (99.9% WC)</t>
  </si>
  <si>
    <t>Moderate – onshore SE Balam area</t>
  </si>
  <si>
    <t>Balam SE facility – separator / water handling available</t>
  </si>
  <si>
    <t>BM020 is not a straightforward reactivation candidate. The well has a clear and executable workover proposal from PE (WSO04), a known target (upper MN3160 sand), and the intervention cause (water coning) is understood.[1]
However, three critical data items must be resolved before the well can be moved to Priority 1:
•	A PNL/RST saturation log must confirm remaining oil saturation above the water cone. Without this, there is no direct evidence that the 5 ft re-perforation target at 3280–3285 ft contains producible oil.
•	A current reservoir pressure survey is needed to validate whether the formation can deliver economically at 30 BOPD.
•	A surface inspection must confirm the wellhead and flow line are in acceptable condition.
If the PNL/RST confirms residual oil and reservoir pressure supports at least 20–30 BOPD deliverability, the well should be promoted to Priority 1. The workover scope is defined, the field infrastructure is established, and the intervention cost is within a reasonable range for a 30 BOPD oil gain target. The investment decision depends on oil price assumptions and the cost-to-gain ratio, which should be evaluated with a full economic model after the validation data is collected.</t>
  </si>
  <si>
    <t>Bekasap So-00002</t>
  </si>
  <si>
    <t>Bekasap South field</t>
  </si>
  <si>
    <t>Bekasap Fm(3), Bangko Fm(1), Menggala Fm(2)</t>
  </si>
  <si>
    <t>Bekasap (3250 sd, 3300 sd)
Bangko (3450 sd)
Menggala (3660 sd, 3780 sd)</t>
  </si>
  <si>
    <t>3.8 BOPD (over 15 days)</t>
  </si>
  <si>
    <t>For Bekasap SE-00002, water cut exceeded 95% continuously from at least July 1972 onward, 18 months before the final shut-in in December 1973. The well had a history of rapid water breakthrough, collapsing from 32% WC at peak in July 1969 to above 95% within six months. This pattern is consistent with bottom-water coning in a high-permeability reservoir on primary depletion, with zero injection support recorded throughout the entire producing life.</t>
  </si>
  <si>
    <t>Not documented</t>
  </si>
  <si>
    <t>Unconfirmed / Provisional Score 3 (Neutral)</t>
  </si>
  <si>
    <t>Economic limit reached. 3.8 BOPD at 98.3% WC</t>
  </si>
  <si>
    <t>Idle Well, Defer / Abandon screening category</t>
  </si>
  <si>
    <t>Provisionally good (Score 4 / Medium confidence)</t>
  </si>
  <si>
    <t>The last job indicated as a final intervention/conversion: March 16, 1974 — the well was converted into an observation well. Evidence on the well schematic states "Date ran 16/03/1974," the tubing was left at around 1050 ft, and the explicit note: "Convert the well to Observation well." , 
Data limited: Only 1969 production log (110 BOPD, ~0% WC) and perforating depth control (TD 4280 ft) available. No modern CBL, RST, or integrity survey. Prod history shows zero production from 1974 onwards. ~50 years idle. Res Pressure, Integrity, PI, Art Lift, CompartmeBP002 / BESO00002V1 / Bekasap South scores 29 out of 75 unweighted (average 1.93). Under the reference matrix weighted scoring framework, this well sits below the Tier 3 threshold (35–54) and falls into the Defer / Abandon screening category.The well cannot be recommended for reactivation from the original perforated zone. The original completion is fully depleted, and 52 years of idle time with no maintenance or inspection creates integrity uncertainty that alone would prevent safe workover execution without prior diagnostics.The only viable reactivation pathway for BP002 is identification of an unproduced or behind-pipe zone through well file recovery and saturation logging. The indirect evidence from the two-phase production behavior in the history provides a weak but non-zero signal that such a zone may exist. This is not strong enough to justify capital commitment.If the well file is recovered and reveals a viable target zone with confirmed residual oil, acceptable WC, and measurable reservoir pressure: repeat this full 15-parameter assessment using the new data. At that point, the well could be re-ranked, potentially to Priority 2, depending on what the data shows.nt scored conservatively. Full integrity and facility assessment mandatory. High abandonment risk.</t>
  </si>
  <si>
    <t>Candi-00006</t>
  </si>
  <si>
    <t>Candi Field</t>
  </si>
  <si>
    <t>Menggala Fm(3), Pematang Fm(3)</t>
  </si>
  <si>
    <t>Menggala (2590 sd, 2770 sd)
Pematang (3160 sd, 3330 sd)</t>
  </si>
  <si>
    <t>Directional</t>
  </si>
  <si>
    <t>11.0 BOPD (241.69 bbl / 22 days, April 2015).</t>
  </si>
  <si>
    <t>99.1% (25,627.66 bbl water / 25,869.35 bbl total fluid, April 2015).</t>
  </si>
  <si>
    <t>7" cased hole, K-55, 20 lbs/ft, cemented to 3,693 ft. Directional S-type, KOP at 1,140 ft. 9.625" K-55 surface casing at 778 ft. Multiple perforated intervals across Menggala and Pematang zones.</t>
  </si>
  <si>
    <t>ESP: Centrilift DN-1300 / 109 stages / GSB3DBHL / 50 HP motor. P-set at 2,609 ft. Installed March 2007 on 83 joints 3.5" EUE tubing. Operated March 2007 to April 2015 (~8 years). Current status unknown. Assumed non-functional after 11 years idle.</t>
  </si>
  <si>
    <t>Moderate. No documented casing damage, fish, or obstruction. CBL-VDL (April 2003) confirms good cement from 778 ft to TD. Casing scraped to 3,311 ft in March 2007 workover without anomaly. Key concern: 2003 PBU permeability (1.5 mD) inconsistent with Candi #3 core (100–300 mD), suggesting a probable downhole leak during the test. Wellhead condition unverified after 11 years idle.</t>
  </si>
  <si>
    <t>Economic abandonment due to high water cut. All active perforated intervals fully water-flooded. WC exceeded 99% for the full final 12+ months of production.</t>
  </si>
  <si>
    <t>Infill producer, idle since May 2015. Drilled as part of 2+3 infill/step-out AFE package (AFE 01-9223-1911-14-290), O-O-86 well pattern.</t>
  </si>
  <si>
    <t>Candi Field, Bekasap District. Established field with confirmed road access. Rig TA #02 accessed March 2007; HLS wireline unit accessed August 2014. Coordinates: N 169,122.97 m / E 732,674.76 m (Pekanbaru system). Road inspection recommended before heavy equipment mobilization.</t>
  </si>
  <si>
    <t>Candi Field gathering system. Previously handled 1,100–1,500 BWPD sustained water production from this well during 2007–2015. Current condition requires verification — no post-2015 facility inspection data available.</t>
  </si>
  <si>
    <t>CA006 is a viable but conditional reactivation candidate. The well produced consistently at 40–75 BOPD for roughly eight years after a 2007 workover, confirming the Menggala SD reservoir can sustain commercial rates under ESP lift. The current idle status is driven entirely by water flooding of the existing perforations, not by structural depletion or mechanical failure, and the 2014 re-perforation event proved that unswept oil existed in adjacent intervals as recently as 11 years ago. A 90 ft gross Menggala SD interval at 2770–2860 ft was explicitly identified in the 2003 completion recommendation as unproduced and never perforated, making it the primary behind-pipe target. The well carries the highest data completeness score of all wells assessed in this screening program, supported by a 2003 CHFR cased-hole resistivity log, a confirmed cement bond, 12 years of production history, and a 2022 seven-formation structure map set. The single action that resolves the key uncertainty is a PNL run through the existing completion to confirm current oil saturation in that unperforated interval. If movable oil is confirmed, the technical case for a full workover reactivation is sound.</t>
  </si>
  <si>
    <t>FAJAR-00002D1</t>
  </si>
  <si>
    <t>Fajar Field</t>
  </si>
  <si>
    <t>Pematang Fm(7)</t>
  </si>
  <si>
    <t>7150 sd, 7200 sd</t>
  </si>
  <si>
    <t>02-Sep-2008</t>
  </si>
  <si>
    <t>No assessment file or production history (ProdHist) for FAJAR-00002 is present in this Space. Last oil rate must be retrieved from the PHR/CPI production allocation database.</t>
  </si>
  <si>
    <t>Directional well, S-type, single string. 7-inch production casing (7, 26 lb/ft, N-80, LTC, R3) set at 7,761 ft, cemented. 9.625-inch intermediate casing set at 4,600 ft. Open-ended 3.5-inch tubing on 2-3 joints as of 2007. Multiple perforation intervals open (commingled) in Pematang URB</t>
  </si>
  <si>
    <t>Rod pump (sucker rod). Current status: pump not working. 2012 program proposed replacement with D475N rod pump set at 7,390 ft. Previous lift: ESP Reda DN1750 (257 stages, SAG, BPSL, 150 HP) pulled April 2007 due to low PI</t>
  </si>
  <si>
    <t>Moderate. No confirmed casing leak, no tubing leak documented. CBL run 4-Mar-2001 indicates cemented 7-inch casing at completion. PBTD at 7,668 ft confirmed accessible in Aug 2008 operations (logger TD found at 7,686 ft). Pump failure (not pumping) is the current mechanical issue, not a structural failure. No current pressure test or integrity survey on record. Well has been idle approximately 17 years with no documented check</t>
  </si>
  <si>
    <t>Primary: Low Productivity Index (PI = 0.3 BFPDpsi confirmed in April 2007). Immediate trigger: pump not working (rod pump failure). ESP was pulled in 2007 because low PI made it uneconomic to run. After 2008 reperforation, well was tested at 502 BOPD but subsequently shut in, likely due to pump failure recurrence or artificial lift system not reinstalled after reperforation</t>
  </si>
  <si>
    <t>Oil producer, directional (S-type), Pematang Formation, idle. BEKASAP SBU classification. Well grid O-O-44A/B-02</t>
  </si>
  <si>
    <t>Good. Established onshore Fajar Field with confirmed rig and hoist access. Rig BN-04 and hoist units operated at this location in 2001, 2007, and 2008. Matting board installed. Road access confirmed in daily drilling reports. GL elevation 57.38 ft, RT elevation 82.38 ft</t>
  </si>
  <si>
    <t>Fajar Field gathering system confirmed active. Well is within Bekasap SBU infrastructure. Production allocation data routed to FAJAR field code in the production database. No flowline capacity or separator data available in the provided files</t>
  </si>
  <si>
    <t>Well FAJAR-0002D1 (FJ002, O-O-44A/B-02) is a directional oil producer in the Pematang Formation (URB sub-zone), Fajar Field, Bekasap SBU, Riau, Sumatra, operated by PT Chevron Pacific Indonesia. The well has been idle since September 2008, approximately 17 years, with the immediate shutdown reason being pump failure and the root cause being a critically low PI of 0.3 BFPDpsi confirmed in April 2007. Despite this, the last recorded well test in September 2008, after a multi-zone reperforation campaign across seven Pematang URB intervals between 7,068 and 7,574 ft MD, showed an encouraging post-reperforation rate of approximately 502 BOPD at only 4% water cut, suggesting residual reservoir deliverability exists if the PI issue can be addressed. A January 2012 well service program proposed a low-cost swab and rod pump installation (D475N at 7,390 ft) with an estimated cost of only USD 40,000 and an expected oil gain of 30 BOPD, but no evidence of execution exists in the file set. Well integrity appears moderate with no confirmed casing or tubing leak on record, PBTD at 7,668 ft was accessible in 2008, and CBL from the 2001 completion indicates acceptable cement quality, though no post-2012 integrity verification has been performed. Location access is good with established Fajar Field infrastructure, and the Bekasap SBU gathering system is confirmed active, but current reservoir pressure, an updated PI measurement, a current integrity survey, and facility capacity data are all missing, making this well a Medium Priority candidate that requires low-cost diagnostic work before any intervention commitment</t>
  </si>
  <si>
    <t>Gulamo-00001</t>
  </si>
  <si>
    <t>Gulamo Field</t>
  </si>
  <si>
    <t>Pematang Fm(19)</t>
  </si>
  <si>
    <t>4930 sd, 4980 sd, 5040 sd, 5550 sd, 5790 sd, 5880 sd, 6110 sd, 6200 sd, 6250 sd, 6350 sd,6440 sd</t>
  </si>
  <si>
    <t>2 BOPD at last formal well test 29 October 2015 (3,030 BFPD total fluid, 99.9% WC). Best rate in recent history was 92 BOPD on 05 March 2014 after new zone perforation</t>
  </si>
  <si>
    <t>99.9% (29 October 2015 well test). Sustained above 97% since 2006</t>
  </si>
  <si>
    <t>Cased hole completion with perforations. 7-inch production casing to 6263 ft, 5.5-inch liner to 6494 ft (PBTD). Selective zone completion using lockset packers (LSP) and cement squeezes to isolate wet zones. Multi-zone perforated completion, Pematang sands</t>
  </si>
  <si>
    <t>ESP (Electrical Submersible Pump). Last installed: WP.2352 STGSINTKGSB-3DBH 180 HP motor, pump set at 4508 ft, installed September 2015. Multiple ESP types used throughout well life including Reda DN-series and P37/P38-series</t>
  </si>
  <si>
    <t>Moderate concern. Wellbore confirmed accessible from surface to 6474 ft (near-PBTD 6494 ft) per 2014 liner scraper run. No casing collapse or confirmed casing leak documented. Lockset packer has been the primary barrier element and has been found stuck or suspected leaking multiple times over the well's life (2001, 2002, 2003, 2010). No CBL/VDL post-2014. Tubing and packer condition after 10 years idle is unknown. Current dual barrier status is unverified</t>
  </si>
  <si>
    <t>Preventive maintenance shutdown (code SSMEASURE-PREVMAINT61). Primary cause: sustained very high water cut (99.9%) making production uneconomic. Not an integrity emergency or equipment failure event</t>
  </si>
  <si>
    <t>Oil producer, vertical well. Discovery well for the Gulamo Field. Well type: OP-VERT</t>
  </si>
  <si>
    <t>Onshore, Riau Province, Sumatra. Coordinates: PKU North 197,788.13 m, East 352,444.44 m. Located approximately 27 km northwest of Duri Field. Access by land road. Road damage due to monsoon was recorded during the 1988-1989 drilling campaign. A flood incident record exists. Regular workover hoist mobilization has been performed without documented chronic access problems</t>
  </si>
  <si>
    <t>Surface facility was previously removed during the 2008-2010 idle period and had to be reconstructed before the December 2010 reactivation workover. Facility was restored and operational from 2011 through November 2015. Current condition of flowline, separator, SWD, and surface equipment after more than 10 years of idle status is unknown. No current facility inspection record exists in the file set</t>
  </si>
  <si>
    <t>Gulamo-001 (O-O-44) is a mature Pematang formation ESP producer in the Gulamo Field, Balam Asset, onshore Riau Sumatra, drilled in 1988 and completed in 1996 as the field discovery well, with cumulative production of 140,454 BO by November 2015 when it was placed on preventive maintenance shutdown. The well has been producing at greater than 97% water cut since 2006 and reached 99.9% WC on its last recorded test in October 2015, which is a knockout condition under the screening framework. Despite having multiple Pematang sand intervals between 4930 sd and 6440 sd, virtually all perforated zones are confirmed wet, with most previously squeezed off using cement or isolated with lockset packers. The only credible remaining opportunity is the unperforated PM 4980 sd interval, which shows 40 ohm-m resistivity on the marked log and has never been individually tested, plus potential bypass oil in shallower sands identified near the offset Ganda-01 location. Historical workover costs have been low, consistently below USD 200,000 per program using a hoist and wireline unit, and the wellbore is confirmed accessible to near-PBTD at 6494 ft based on 2014 data. However, no current BHP measurement, CBL/VDL, RST or PNL saturation log, or post-2015 site inspection exists in the available file set, leaving the reservoir pressure, cement integrity, remaining saturation, and surface facility condition all unverified. This well is currently classified as Tier 3 / Low Priority with a Knockout Risk flag on water cut, and reactivation should not be sanctioned until individual zone swab testing of PM 4980 sd and a current integrity and saturation survey confirm measurable oil potential above the economic threshold.</t>
  </si>
  <si>
    <t>Gulamo-00002</t>
  </si>
  <si>
    <t>Pematang Fm(13)</t>
  </si>
  <si>
    <t>5040 sd, 5150 sd, 5440 sd, 5550 sd, 5790 sd, 6200 sd, 6350 sd</t>
  </si>
  <si>
    <t>Cased hole, multi-zone. 9-5/8" surf csg to 980 ft, 7" prod csg to 6,274 ft, 5" liner 6,252–6,381 ft. 3-1/2" EUE tubing. Lockset and CPA packers for zone isolation. PBTD 6,331 ft</t>
  </si>
  <si>
    <t>ESP. Currently non-functional. Last unit FC1200231GS1P133HP stuck at 5,713 ft with 1,991 ft cable left in hole. Historically used tubing pump (1996–1999) then multiple REDA ESP models. At least 6 ESP changes documented</t>
  </si>
  <si>
    <t>Compromised. Mechanical obstruction: 1,991 ft cable + ESP fish at 5,713 ft blocking access below that depth. Suspected leaking Lockset Packer (Oct 2002). CBL run Sep 1996 (2,989–6,214 ft). No post-2006 integrity data</t>
  </si>
  <si>
    <t>Primary: Recurring ESP pump failures. Contributing: High water cut (90–100% WC). Final: Cable stuck in hole during ESP retrieval (August 2006). Well left as fish-in-hole with no further documented intervention</t>
  </si>
  <si>
    <t>Idle oil producer. Multi-zone Pematang Formation well. No injector or observation role documented</t>
  </si>
  <si>
    <t>Good. Year-round road access. Established onshore location within former CPI operational area. No seasonal limit, security issue, or permit constraint documented. Current access post-operatorship transfer not confirmed</t>
  </si>
  <si>
    <t>Bekasap SBU gathering system operational 1996–2006. Field produced 140,774 BOPD (Oct 1996). Power supply confirmed (1,176.79 kWh/day, 1998). Chemical injection and cement services available via Halliburton Duri base. Post-2006 facility status not documented</t>
  </si>
  <si>
    <t>Gulamo 02 has confirmed multi-zone oil potential in the Pematang Formation, a documented estimate of 150 BOPD gain after selective recompletion, and an established infrastructure base. However, the combination of a mechanical fish in hole, near-total water breakthrough on the last test, no subsurface data for approximately 20 years, and uncertainty about current facility status prevents a Priority 1 classification.The well should not be abandoned without a current saturation evaluation. If RST or PNL confirms residual oil in shallower zones (5040 Sd or 5150 Sd, which showed potential on historical swab tests), and if a fishing assessment confirms the wellbore is recoverable at reasonable cost, this well could be upgraded to Priority 1 with a clear, low-cost workover scope (selective recompletion with new ESP).</t>
  </si>
  <si>
    <t>Intan-00004</t>
  </si>
  <si>
    <t>Intan Field</t>
  </si>
  <si>
    <t>Bekasap Fm(11)</t>
  </si>
  <si>
    <t>2800 sd, 2900 sd, 3020 sd, 3050 sd, 3150 sd, 3200 sd</t>
  </si>
  <si>
    <t>18 BOPD (last well test 02-Oct-2015 at 2,838 BFPD total fluid). Monthly average Oct 2015: ~22.8 BOPD (410.9 bbls over 18 prod days)</t>
  </si>
  <si>
    <t>99.4% (02-Oct-2015 well test). Sep 2015: 99.2%. Consistently above 98% WC from 2013 onward</t>
  </si>
  <si>
    <t>Cased-hole vertical, single-string tubing completion. Surface casing 10¾ in 40.5 lb/ft J-55 set at 511 ft. Production casing 7 in 23 lb/ft J-55 set at 3,279 ft. Tubing 3.5 in J-55 EUE 87 joints set at ~2,769 ft. LS packer at 3,188 ft. Cup packer (CPA) at OOC 2,806 ft. PBTD 3,224 ft</t>
  </si>
  <si>
    <t>ESP (Centrilift / Baker Hughes). Last pump: P2262 STGS INTK GSB3HL 105 HP, set depth 2,769 ft, BOM 2,784 ft. ESP failed mechanically 18-Oct-2015. No ESP currently in hole. Hardware must be procured for reactivation</t>
  </si>
  <si>
    <t>Moderate. No casing failure on record. LS packer rubber was found damaged Sep 2011, replaced. Master valve leak repaired Dec 2013 (SRF04). Casing scraper confirmed well accessible to PBTD 3,224 ft in Sep 2011. Dual barrier status unverified post-2015. No CBL post-squeeze confirmation found in provided files</t>
  </si>
  <si>
    <t>ESP mechanical failure (OFF-SS-ESP-MECHANICAL PART). ESP P2262 105 HP failed 18-Oct-2015. No replacement installed. Contributing factor: marginal oil production at 18 BOPD with 99.4% WC reduced economic priority for prompt ESP replacement</t>
  </si>
  <si>
    <t>Development Well — Vertical Oil Producer — ESP Well — Idle (Shut-In). Workover classification: Normal Oil Gain Job (as per 2015 Chevron SFAD recommendation)</t>
  </si>
  <si>
    <t>Intan Field, Riau Province, Central Sumatra. Coordinates: N 160,882.41 M / E 386,126.68 M (Lat 001°05'21.50" N, Lon 101°19'01.80" E). Established field with all-weather access. Multiple rig moves recorded 1978–2015 without any access constraints noted. Good year-round access. Last accessed Oct–Nov 2015</t>
  </si>
  <si>
    <t>Production routed to SO Piala 02 gathering station. Flowline and separator connection were functional at last POP (Sep 2011 and Oct 2015). ESP power cable and J-box functional at last operation (PP 1.7 ohm, PG 200 M.Ohm at last run). Wellhead: Gray Type E 10¾" × 7" × 3½" Series 600, 12,000 psi WP. Chemical injection (capillary line) referenced in 2015 WO program. Current facility condition post-2015 not re-inspected — must be verified before restart</t>
  </si>
  <si>
    <t>INTA00004 (S1-O-26) holds a viable reactivation pathway with well-defined workover scope, established facility connectivity, and an estimated cost well under USD 150,000, which makes it a low-cost candidate relative to most idle well interventions. However, the current screening places it at Priority 2 because three data gaps carry enough technical risk to defer commitment: the BK 2900 sd and BK 3050 sd swab rates date back to 1999 and have never been re-confirmed, no SBHP or pressure survey exists post-2010 to validate reservoir energy for a new ESP design, and no reserve estimate or CO log saturation interpretation is available to confirm the remaining oil volume justifies the spend. The priority outcome is directly tied to the swab test result on the two candidate zones — if either zone delivers above 30 BOPD at manageable water cut, the well upgrades to Priority 1 with a clear and low-cost execution path; if both zones return high water cut, the economic case collapses and the well drops to Priority 3.</t>
  </si>
  <si>
    <t>Jorang-00019</t>
  </si>
  <si>
    <t>Jorang Field</t>
  </si>
  <si>
    <t>Bekasap Fm(4), Bangko Fm(1), MenggalaFm(7)</t>
  </si>
  <si>
    <t>Bekasap (4650 sd, 4890 sd)
Bangko (5050 sd)
Menggala (5100 sd, 5160 sd)</t>
  </si>
  <si>
    <t xml:space="preserve">Last active oil allocation in June 2015 (record 630-15) averaged approximately 15–25 BOPD with water cut of 99.9%. </t>
  </si>
  <si>
    <t>Cased hole (7" 23 lb/ft K-55), vertical, multi-zone; LS packer 5193; CIBPs</t>
  </si>
  <si>
    <t>ESP TD450246 stgs 57HP at 4,619 ft (installed Dec-2006). Failed ~Mar-2007 (poor reading). Status unknown.</t>
  </si>
  <si>
    <t>Multiple squeezed intervals (Bekasap 4650sd, 4890sd); CIBP at 5210, 5246; old well (1987); integrity uncertain</t>
  </si>
  <si>
    <t>ESP poor reading / failure (Mar-2007); recurring pump failures since 1999</t>
  </si>
  <si>
    <t>Producer (idle — long-term)</t>
  </si>
  <si>
    <t>Easy — established Jorang field pad, road access</t>
  </si>
  <si>
    <t>Petani AMT surface facility — available (old field infrastructure)</t>
  </si>
  <si>
    <t>JORA00019 is a Priority 2 candidate with real reactivation potential, supported by significant historical production, an underdepleted Menggala lower zone, good surface infrastructure, and an established ESP lift system. The well cannot advance to Priority 1 until five critical data items are confirmed: a wellhead physical inspection, a static pressure gradient run, RST or PNL on the Menggala 5100 SD and 5160 SD intervals, a CBL check across the previously squeezed Bekasap and Bangko intervals, and a current cost estimate from a qualified workover contractor. The water cut knockout (Score 1) driven by 94–99% WC from the active Bekasap perforations is the single blocking factor, and it can only be resolved by confirming residual oil saturation in the Menggala lower lobes and verifying cement isolation integrity before any workover commitment is made. Once this data package is in hand, a definitive reclassification to Priority 1 or Priority 3 can be made with full technical confidence.</t>
  </si>
  <si>
    <t>Jorang-00020</t>
  </si>
  <si>
    <t>Bekasap Fm(4), Bangko Fm(1), MenggalaFm(4)</t>
  </si>
  <si>
    <t>Approximately 0.93 BOPD (monthly allocated oil 16.65 bbl over 18 prod days). May 2015 shows 24.2 BOPD over 25 prod days. The last meaningful oil rate prior to final decline was approximately 15-25 BOPD in the final two active months.</t>
  </si>
  <si>
    <t>Approximately 99.9%. Jun 2015: ALLOCOIL 16.65 bbl, ALLOCWTR 29,020 bbl. Water cut = 29,020 / (29,020 + 16.65) = 99.94%. May 2015: ALLOCOIL 24.2, ALLOCWTR 37,200, water cut = 99.94%.</t>
  </si>
  <si>
    <t>Cased hole completion with 7" production casing (23 lb/ft, J-55, STC) set to TD 5411 ft. Perforated completion. Multi-zone perforations over four separate intervals from 2005 to 2014. CIBP (Cast Iron Bridge Plug) set at 4760 ft in April 2005 to isolate lower zones. No open-hole or gravel pack completion indicated.</t>
  </si>
  <si>
    <t>ESP (Electrical Submersible Pump). Type: REDA GN 2000 series, 117-120 HP motor. Pump intake set at 5096 ft, motor at 5121 ft. REDA head installed on wellhead per wellhead installation record dated 26 Aug 1987. Well produced via ESP throughout its operational life. Current ESP condition after 10+ years of shut-in is not confirmed in available documents.</t>
  </si>
  <si>
    <t>Moderate concern. No evidence of active casing or tubing leak in provided documents. However: (1) PBTD limited to 5156-5215 ft vs. original 5411 ft in all jobs since 2005, indicating unresolved wellbore obstruction in lower section (~255 ft inaccessible). (2) CBL (Sep 1987) shows top of cement at 3670 ft with "no cement data available" above that depth, raising annular isolation concern in the upper section. (3) CIBP set at 4760 ft in 2005, condition unverified. (4) No dual barrier verification in provided files. No post-2014 integrity assessment found.</t>
  </si>
  <si>
    <t>Economic. Production declined to near-zero oil rate with water cut exceeding 99.9% by mid-2015. No mechanical failure, HSE incident, or regulatory shutdown reason is documented in the provided files. The well appears to have been shut in due to sub-economic performance under high water cut and negligible oil contribution.</t>
  </si>
  <si>
    <t>Development producer, vertical well. Part of the Jorang 3-well development program (Appropriation SP-172 / 5P-172). Operated by PT Caltex Pacific Indonesia (later PT Chevron Pacific Indonesia)</t>
  </si>
  <si>
    <t>Onshore land location, Bekasap District, Riau Province, Sumatra, Indonesia. Coordinates: N 187,044.14 m, E 329,959.75 m (Pekanbaru system). Latitude 01-19-32.9 N, Longitude 100-48-45.3 E. Ground elevation 32.15 ft (9.8 m). During drilling, rig moved 140 km from Minas 607 camp over 9.14 hours, indicating reasonable road access by Sumatra standards. No road restriction or seasonal access limitation noted in provided documents.</t>
  </si>
  <si>
    <t>Bekasap Production Department infrastructure. Wellhead installed with Foster BOP stack (10" x 2000 psi, 7" x 2000 psi sections), DEMCO valves, and REDA ESP head. Well was part of an active production field with gathering and processing infrastructure operated by PT CPI / PT Chevron. No post-2015 facility status document found. Current flowline condition, separator allocation, and power supply status are not confirmed in the provided files.</t>
  </si>
  <si>
    <t xml:space="preserve"> The well has a 28-year production history across multiple Bekasap and Menggala pay zones, but the final production period in 2015 showed oil rates below 25 BOPD with water cut exceeding 99%, and the wellbore has been shut in for over a decade with no post-2015 integrity verification. The case for reactivation depends entirely on whether bypassed or unswept oil remains in any of the four perforated interval groups between 4602 and 5200 ft, and this cannot be confirmed without an RST or PNL saturation log. Before any workover decision, four actions are required in sequence: coiled tubing cleanout to restore PBTD access, casing and tubing integrity pressure test, current reservoir pressure measurement, and RST or PNL log across all perforated intervals. If saturation logging confirms residual oil potential above 30 BOPD in at least one interval, the well should be upgraded to Priority 1 and a workover program prepared. If no residual oil is confirmed, the well should be downgraded to Priority 3 and evaluated for plug and abandonment</t>
  </si>
  <si>
    <t>Jorang-00025</t>
  </si>
  <si>
    <t>Bekasap Fm(3), Bangko Fm(1), MenggalaFm(4)</t>
  </si>
  <si>
    <t>Bekasap (4650 sd)
Bangko (5050 sd)
Menggala (5100 sd, 5160 sd)</t>
  </si>
  <si>
    <t>~0.95 BOPD (Aug 2016)</t>
  </si>
  <si>
    <t>~99.8% (Aug 2016)</t>
  </si>
  <si>
    <t>Cased hole, perforated; CIBP at 5,216 ft; 9-5/8-in production casing to 5,414 ft</t>
  </si>
  <si>
    <t>None documented</t>
  </si>
  <si>
    <t>Moderate. CIBP present. No active failure. Not verified post-2016.</t>
  </si>
  <si>
    <t>Economic: terminal water cut greater than 99%, near-zero oil rate</t>
  </si>
  <si>
    <t>Idle vertical oil producer, cased hole</t>
  </si>
  <si>
    <t>Good, year-round land access, Riau, Central Sumatra</t>
  </si>
  <si>
    <t>Jorang Field FPF and gathering system present; current condition not verified</t>
  </si>
  <si>
    <t xml:space="preserve">Well Jorang-25 (JORA00025) is a vertical cased-hole oil producer in the Jorang Field, Riau Province, that has been idle since August 2016 after producing from the Bekasap, Bangko, and Sintong sands of the Sihapas Group since 1992. The well reached terminal economic condition driven entirely by extreme water cut, which exceeded 97% as far back as 2008 and climbed to approximately 99.8% at final shut-in, with the last recorded oil rate of less than 1 BOPD. Over its 24-year production life the well was re-perforated four times across progressively deeper intervals, with the final perforation in May 2016 targeting a new Sintong interval at 5,201–5,205 ft, but the zone delivered essentially no response, confirming near-total depletion or water saturation across all contacted intervals. A Cast Iron Bridge Plug set at 5,216 ft in 2002 further limits wellbore access to the deeper section, and no current pressure survey, saturation log, or wellhead condition check exists in the dataset, leaving reservoir depletion status, remaining oil potential, and current well integrity all unverified. The location and existing field facility are accessible and in an active field, which are the only clear positives, but without a current RST or PLT to confirm residual oil in any un-swept interval, and without a current reservoir pressure measurement, there is no technical basis to justify reactivation at this time, and the well should remain low priority pending a focused data acquisition campaign.
</t>
  </si>
  <si>
    <t>Kelok-00002D1</t>
  </si>
  <si>
    <t>Kelok Field</t>
  </si>
  <si>
    <t>Menggala Fm(1), Pematang Fm(6)</t>
  </si>
  <si>
    <t>Menggala (3120 sd)
Pematang (4750 sd, 4930 sd, 5400 sd, 5470 sd, 5780 sd)</t>
  </si>
  <si>
    <t>33 BOPD (Jul 2023 allocation). Last formal test: 121 BOPD on 16-Dec-2014</t>
  </si>
  <si>
    <t>~95% (Dec 2014 well test: 95.28% WC from PM 5400/5470). MGL 3120 WC post-2021 not formally tested</t>
  </si>
  <si>
    <t>Cased hole, directional, single-string ESP. 13.375" surf / 9.625" int csg / 7" liner at 6190 ft MD. KOP 3250 ft, max incl. 33.9°</t>
  </si>
  <si>
    <t>ESP, continuous since April 2002. Last recorded pump: 538P-2394-180HP at 5382 ft MD (Feb 2015)</t>
  </si>
  <si>
    <t>Moderate concern. Master valve leak confirmed Feb 2015 (fluid around stem). Repair completion not confirmed in available files. Original CBL (Feb 2002) confirmed good bonding 3300–6100 ft.</t>
  </si>
  <si>
    <t>Declining rate from MGL 3120 post-2021 reperforation. High WC in deep Pematang sands. Unresolved wellhead leak (2015). No further WO approved post-PHR takeover (Oct 2021).</t>
  </si>
  <si>
    <t>Oil Producer, Directional Development Well (OP-DIRC). KL002 O-O-63</t>
  </si>
  <si>
    <t>Onshore, year-round road access. Rokan Block internal field roads. Balairaja support base as main logistics hub.</t>
  </si>
  <si>
    <t>Connected to Pager Gathering Station. Electrical/power infrastructure in place. Bekasap SBU production system active.</t>
  </si>
  <si>
    <t>KELO00002D1 is a directional ESP producer in the Kelok Field, Bekasap SBU, that has been idle since July 2023 after a long and active production life dating back to March 2002, with a cumulative oil production of approximately 2.43 million BO. The well holds genuine reactivation potential, primarily through the Menggala 3120 sand (3122 to 3136 ft MD), which was re-perforated twice in October 2020 and August 2021 and delivered approximately 94 to 164 BOPD during 2022 before declining rapidly to 33 BOPD by July 2023, suggesting near-wellbore damage, pressure depletion in this thin sand, or an unaddressed mechanical issue rather than a reservoir-level knockout. The deeper Pematang sands (5400 and 5470) produced at high water cut, greater than 95%, and are unlikely candidates without further evaluation, but the un-produced Upper Pematang 4750 sand and the partially produced Pematang 4930 sand remain as behind-pipe opportunities that have never been fully exploited. The main risk before any reactivation program is the unresolved wellhead integrity issue: a master valve leak was confirmed in February 2015 with fluid escaping around the stem, and no close-out record for that repair exists in the available files, making a site inspection and pressure test the mandatory first step before any workover commitment. Data completeness for the post-PHR transition period (October 2021 onward) is limited, with no formal well test, nodal analysis, or reservoir pressure survey available after the 2021 reperforation, which means the current productivity index and deliverability of MGL 3120 sand remain unconfirmed, and a swab test on that interval is the most cost-effective way to determine whether the well is a low-complexity reactivation or requires a full workover with ESP replacement.</t>
  </si>
  <si>
    <t>Kelok-00007D1</t>
  </si>
  <si>
    <t>Kelok field</t>
  </si>
  <si>
    <t>Menggala Fm(6), Pematang Fm(6)</t>
  </si>
  <si>
    <t>Pematang (4930 sd)</t>
  </si>
  <si>
    <t>Approximately 59 BOPD average over the last 20 producing days in April 2017. Last well test rate documented: 10 BOPD at 99.5% WC from Menggala FM (test referenced in Aug 2008 workover recommendation; actual well test date not explicitly stated).</t>
  </si>
  <si>
    <t>99.5% WC. Documented from the last well test on the Menggala FM interval (2122 BFPD / 10 BOPD / 99.5% WC). Monthly allocation data confirms water-dominated production through 2015-2017.</t>
  </si>
  <si>
    <t>Single-zone, open perforations. 3.5" EUE tubing string on 7" 20# liner (TD 5570'). Directional well, KOP at 1700'. Multiple cement squeezes in wellbore history. Last active perforations: 3146-3152' (Menggala) and 5182-5190' (deep interval). No packer documented as currently set. LSP at 3197' was pulled and removed in Aug 2008.</t>
  </si>
  <si>
    <t>ESP. Last ESP pulled: Aug 2012 (Centrilift P21/90 stages/133 HP motor). Original ESP: Centrilift GC2200/72 stages/95 HP, set at 2921' RT (installed May 2005, pulled Dec 2008). No ESP currently in place based on available records. No ESP re-installation documented after the 2012 workover.</t>
  </si>
  <si>
    <t>Moderate concern. Cement squeezes completed across Menggala intervals (2008 and 2012). LSP at 3197' removed in 2008 with broken rubber. No post-squeeze CBL or USIT run. No current annulus pressure data. Casing scraper tagged at 5457' in 2008; wellbore accessible to at least 5214' per 2014 log. No confirmed dual downhole barriers. No evidence of active leak or casing failure.</t>
  </si>
  <si>
    <t>High water cut (99.5% WC) in the Menggala FM interval. Fluid contact below the Top Menggala perforations caused progressive water breakthrough since first completion in May 2005. Production became uneconomic. No mechanical failure or safety incident cited as the shutdown trigger.</t>
  </si>
  <si>
    <t>Idle producer. Directional oil producer, ESP-lifted, with multiple intervention history. Currently shut-in with perforations open but no lift equipment in place.</t>
  </si>
  <si>
    <t>Kelok Field, Riau, Indonesia. Coordinates: N 168,909.520 M / E 726,327.320 M (LAT 001°03'37.918"N, LON 101°02'03.218"E). Established CPI operating area. Multiple workover rigs (HPS #05, BKU #02) have accessed the location. Road and rig access confirmed by prior operations. No access restriction documented.</t>
  </si>
  <si>
    <t>Connected to Kelok/Bekasap gathering system under CPI SLN operations. Water injection infrastructure is confirmed active during the well's production life (monthly injection volumes exceeding 90,000-120,000 BBL/month allocated to this well in the 2015-2017 period). No current facility condition report in the dataset. Facility assumed present but unverified for current operability.</t>
  </si>
  <si>
    <t>KELO00007D1 (O-O-63B #07, Kelok Field) is an idle directional oil producer that has been shut-in since April 2017, primarily due to extreme water cut reaching 99.5% in the Menggala FM interval, making the current completion economically unviable; however, the well retains residual reactivation potential through re-access of the deeper Pematang zone at approximately 4930' sd, which initially tested at an outstanding 2590 BOPD / 4% WC in June 2004 and was isolated with cement in May 2005 before reaching its full productive life, with its offset well KL006 confirmed to be producing from the same sand at the time of the last review. The well currently has no ESP in place following the 2012 pull, open perforations remain at 3146–3152' (Menggala) and 5182–5190' (deep interval), no post-squeeze CBL has been run, no dual downhole barriers are confirmed, and no current pressure or saturation data is available — making this a Medium Priority / Priority 2 reactivation candidate that requires a RST/PNL saturation log, static pressure survey, offset well KL006 performance review, current wellhead inspection, and a new ESP design before any firm reactivation decision can be made.</t>
  </si>
  <si>
    <t>Kelok-00008D1</t>
  </si>
  <si>
    <t>3070 sd</t>
  </si>
  <si>
    <t>43 BOPD</t>
  </si>
  <si>
    <t>Cased hole (7" K-55), directional, single zone (Menggala 3070sd)</t>
  </si>
  <si>
    <t>Cased hole, single zone, perforated completion. 5-inch casing at target interval. Perforation at 3360-3366 MD, 6 ft gross, 5 spf, using 5-inch casing gun</t>
  </si>
  <si>
    <t>Electrical Submersible Pump (ESP). Centrilift, model 400P, 1694 stages, 76 HP motor. Pump set at 3211 ft MD. Last installed ESP had 1,296 days of run life before failure</t>
  </si>
  <si>
    <t>Not formally assessed in available documents. No current wellhead inspection report, CBL rerun, casing caliper, or integrity test result was found. The well has been idle since at least 2014, over 11 years. Scale was anticipated by the 2014 recommendation. Dual barrier verification: not documented</t>
  </si>
  <si>
    <t>Directional oil producer, single zone, cased and perforated, ESP-lifted, brownfield mature well</t>
  </si>
  <si>
    <t>Onshore, Kelok Field, Central Sumatra. Road-accessible. Rig mobilized by truck convoy (62 loads) from Candi area. Location required dozing and matting wood for rig setup. Standard onshore access, no major seasonal barrier documented. Current road condition not verified</t>
  </si>
  <si>
    <t>Kelok gathering system was active and receiving production from this well prior to shutdown. No current separator capacity, water handling, SWD allocation, or flowline condition data was found in the provided documents</t>
  </si>
  <si>
    <t>KELO00008D1 (O-O-43) is a mature directional oil producer in the Kelok Field, perforated in the Menggala 3070 sand at 3360-3366 MD, that has been idle since at least April 2014 due to ESP failure after 1,296 days of run life. The well's last recorded performance tells the core story: 43 BOPD oil rate against 97.7% water cut and 1,817 BFPD total fluid, which means this well is producing predominantly water with very little commercial oil remaining. The intervention path is technically straightforward and low cost, estimated well below USD 500,000 for an ESP pull-and-run job, and the location is road-accessible with an existing gathering facility. However, none of these positives change the fundamental subsurface reality. The well has experienced severe depletion in the Menggala 3070 zone over its production life from 2005 to 2014, no reserve estimate or current pressure survey exists to quantify what remains, no RST or PNL saturation log has been run to confirm residual oil, and the well has now been idle for over 11 years with no documented integrity verification. The combination of near-total water breakthrough, unknown current reservoir pressure, and a complete absence of integrity and saturation data makes this well a low-priority reactivation candidate. Before any capital is committed, the production history file must be analyzed, a wellhead and downhole integrity inspection must be completed, a current BHP survey must be run, and RST or PNL data must be acquired to determine whether any recoverable oil remains in the perforated interval or in any behind-pipe zone within the Menggala section.</t>
  </si>
  <si>
    <t>Kelok-00009D1</t>
  </si>
  <si>
    <t>0.5 BOPD (3.72 BBL over 7 prod days, Jun-2016). Last well test rate: 15 BOPD at Sep-2014; 23 BOPD at Jun-2014.</t>
  </si>
  <si>
    <t>99.0% (Sep-2014 well test). Monthly allocation 2015-2016 confirms water ~45,000-50,000 BBL/month vs oil &lt;30 BBL/month, consistent with WC &gt;99%.</t>
  </si>
  <si>
    <t>Cased hole, single string, directional producer. 7" K55 20 ppf production casing to 3370 ft MD. 3.5" EUE tubing, 89 joints, 18 ft RT. Packer set ~2973-3005 ft MD. Perforated completion with two separate perforation events.</t>
  </si>
  <si>
    <t>ESP (Electrical Submersible Pump). Last known configuration (Jan-2014): Centrilift P12 / 99 stages / GSB3DBHL / 63 HP motor, pump set ~2990 ft MD. Prior configuration (May-2010 to Jan-2014): FC1200 / 167 stages / GS / 76 HP. Current condition unknown after idle since 2016.</t>
  </si>
  <si>
    <t>No casing failure, tubing leak, fish, or crossflow documented in any record. PBTD 3284 ft MD accessible and tagged in Jan-2015 wireline operation. CBL reading May-2010: P/P = 1.5 OHM / P/G = 300 M.OHM. Well successfully pressure tested and started at 170 PSI in May-2010. No post-2016 integrity data in file. Dual barrier status currently unverified.</t>
  </si>
  <si>
    <t>Production economics. Water cut exceeded 99% with oil rate declining to &lt;1 BOPD. Re-perforation of Zone 2 (3203-3213 ft, Jan-2015) did not arrest the decline. No mechanical failure or integrity incident documented as the cause of shutdown.</t>
  </si>
  <si>
    <t>Oil producer, directional (deviated) well. KOP at 1494 ft MD, maximum inclination 20.64 deg, azimuth ~275 deg (N84.72W). Well type code: OP-DIRC.</t>
  </si>
  <si>
    <t>Onshore land well, Kelok field, Riau, Sumatra, Indonesia. Coordinates: N 00°31'50.438" / E 101°02'06.678" (UTM Easting 726,433.93 / Northing 169,294.27). Road access exists and was used in multiple WO operations. Wet season creates muddy conditions requiring grader and durabase matting (documented May-2010). Mobilization base: Duri. Current road and site condition post-2016 not confirmed in file.</t>
  </si>
  <si>
    <t>Surface facility existed and was operational during active production (pre-2016). ESP surface panel, flowline, and gathering connection confirmed functional at May-2010 WO (well started at 170 PSI, load 47 A). Minor facility delay at original Oct-2005 completion ("well not pop yet due to surface facilities incomplete"). No post-2016 facility inspection or condition report in provided file set.</t>
  </si>
  <si>
    <t>Well KELO00009D1 (O-O-43A) in the Kelok Menggala Sand, Block Rokan, is an economically idle directional oil producer that has been shut in since mid-2016 after accumulating 229,547 BO over its productive life from October 2005. The well was never abandoned due to mechanical failure. It went idle purely because water cut crossed 95% as early as 2012 and reached 99.0% by September 2014, while oil rate dropped below 1 BOPD by June 2016. A structured 15-parameter screening matrix scored the well at 39 out of 75 (average 2.6/5.0), placing it in the Low-to-Medium reactivation priority category, with a Knockout Risk flag triggered specifically by water cut exceeding 95%. The one remaining technical question is whether Zone 2 (3,203-3,213 ft MD), which was re-perforated in January 2015, holds residual oil at an economically acceptable water cut, but no post-perforation well test isolating that zone exists in the file set. Reservoir pressure shows signs of severe depletion, with casing pressures recorded at only 206-220 psi during 2011-2014 and no static BHP data available. The wellbore itself was confirmed accessible as recently as January 2015 with no fish, no casing damage, and acceptable CBL readings, but no integrity or facility data exists post-2016, meaning roughly ten years of idle condition remain unverified. The current classification is Priority 3, with reclassification to Priority 2 or higher only possible if a PLT/PNL run and static BHP survey confirm adequate reservoir pressure and residual oil saturation in Zone 2</t>
  </si>
  <si>
    <t>Kerang-00002</t>
  </si>
  <si>
    <t>Kerang Field</t>
  </si>
  <si>
    <t>Bekasap Fm(3), Bangko Fm(3), Menggala Fm(1)</t>
  </si>
  <si>
    <t>Bekasap (2680 sd, 2780 sd, 3340 sd)
Bangko (3360 sd, 3500 sd, 3530 sd)</t>
  </si>
  <si>
    <t>13 BOPD (well test 30 March 1994)</t>
  </si>
  <si>
    <t>90% (well test 30 March 1994)</t>
  </si>
  <si>
    <t>Single string, cased hole, tubing pump. 10-3/4" surf csg @705 ft, 7" prod csg @3,893 ft, 3.5" EUE tubing 84 jts, CIBP @2,780 ft</t>
  </si>
  <si>
    <t>Tubing Pump 2.25" x 15' set @2,683 ft, last set 1989, reconditioned Mar 1992. Previous lift: ESP DN750 then D400/129/30HP (1980–1990)</t>
  </si>
  <si>
    <t>Unverified. No wellbore entry since 1997 CBL. CIBP @2,780 ft limits access to PBTD. Dual barriers unconfirmed. Tubing ~34 years in-hole. No casing or tubing leak on record</t>
  </si>
  <si>
    <t>Low fluid production with high water cut (90%). Bangko 2680 sd watered out. Fluid rate too low to sustain the smallest available ESP (D-400)</t>
  </si>
  <si>
    <t>Idle oil producer. Workover evaluation or P&amp;A candidate</t>
  </si>
  <si>
    <t>Kerang Field, Riau, Sumatra. Coord: N 216,560.29 m / E 341,153.27 m. Lat 001°35'34.3"N, Long 100°54'46.6"E. GL Elev 37.3 m. No current access report in file set</t>
  </si>
  <si>
    <t>Unknown. No facility data in file set. Wellhead only noted in 2003 WO Rec. Gathering system condition unverified</t>
  </si>
  <si>
    <t>The well was shut-in due to low fluid production.  
Technically, the causes are a combination of:  
1. Low fluid rate, although the water cut is around 90%. In records, a 90% water cut is still referred to as “still good around 90% WC”, but the total fluid rate is already low.  
2. Declining reservoir/inflow pressure, causing the pump not to fill optimally.  
3. Suspected low tubing pump efficiency, leading to several reconditioning efforts.  
4. The lower interval that was previously opened, especially around the 3340’/3360’ sand, produces high water cut; there is an interpretation that water may come from the lower lobe of the 3340’ sand and affects the rate and water cut.  
5. The structure position of Kerang 02 is said to be on the flank and almost 100 ft lower than Kerang #01, so the remaining oil potential is considered uncertain. In conclusion: Kerang 02 was shut-in not solely because of a damaged pump, but because the well is no longer economical/has low deliverability: low fluid production, low oil rate, high water cut, and possible reservoir pressure decline.
The well shut in due to economics, not mechanical failure, which is a positive starting point. However, three critical unknowns block any commitment: current reservoir pressure is unmeasured since 2003, no saturation log exists to confirm moveable oil in the lower Bangko and Menggala sands, and the wellbore has had no entry since the 1997 CBL run. Before spending any workover budget, run a pulsed neutron log (RST or C/O) to confirm residual oil saturation, conduct a static BHP survey on the next wellbore entry, and perform a wellhead integrity check. If those three data points confirm oil saturation above 40% in at least one zone and reservoir pressure above 40% of original, the well moves to Priority 1 with a hoist-class workover scope estimated under USD 1 million at current cost levels. If the saturation log shows predominantly swept zones, proceed directly to P&amp;A, consistent with the intent already documented in the 2003 Workover Recommendation.</t>
  </si>
  <si>
    <t>Kerang-00009</t>
  </si>
  <si>
    <t>Minas Fm(1), Petani Fm(1), Bekasap(3)</t>
  </si>
  <si>
    <t>2900 sd, 3150 sd, 3360 sd</t>
  </si>
  <si>
    <t>100% water cut at all tested zones, May 1982 swab tests.</t>
  </si>
  <si>
    <t>Cased hole, cemented and perforated. 7" J-55 23 lb/ft to 4,054 ft. 3.5" OE tubing, 10 joints at 309 ft (post-2011). No packer.</t>
  </si>
  <si>
    <t>None installed. REDA pump proposed in 1982 but not installed due to 100% water. No ESP, SRP, or gas lift documented.</t>
  </si>
  <si>
    <t>Moderate. Barrier #1 tagged at 991.6–1,010 ft (confirmed). CIBP at 3,150 ft and 3,610 ft. 1982 CBL good bonding (avg 1 mV, 2,800–4,008 ft). 2018 review incomplete: Barriers #2, #3, #4 blank. Gravel pack TOS at 1,010 ft blocks PBTD access.</t>
  </si>
  <si>
    <t>Never commercially productive. 100% water cut at all zones, 1982. 2011 workover placed well in standby. No reactivation recommendation found.</t>
  </si>
  <si>
    <t>Oil Producer, Vertical, Delineation Well. Currently shut-in/standby.</t>
  </si>
  <si>
    <t>Easy, year-round. Onshore Kerang Field, flat terrain, established CPI infrastructure. No seasonal or security constraints noted.</t>
  </si>
  <si>
    <t>Not confirmed in available files. Kerang Field operated under CPI/Chevron infrastructure. Separator, WH, SWD capacity data absent. Current status under Pertamina Hulu Rokan requires verification.</t>
  </si>
  <si>
    <t>KERANG O-W2-84 (#9) is a 1982 delineation well in the Kerang Field, Riau, that has never produced a single barrel of oil in its entire history. All three perforated zones tested during initial completion in May 1982, spanning 3,104–3,648 ft across the Bangko FM, returned 100% water cut on every swab run. The well was left idle, and the 2011 coiled tubing workover did not attempt reservoir reactivation but instead placed a gravel pack and cement barrier at 991.6 ft, effectively confirming the well as a standby/isolated wellbore. The 2018 barrier review documented only one of four barriers, leaving dual barrier compliance incomplete. The only remaining technical argument for reactivation rests on the structural position near the crest of the Kerang W2 closure and the possibility that the 3,104–3,114 ft zone sits marginally above the oil-water contact, but this is unconfirmed because no saturation log, no reserve estimate, no current pressure survey, and no production PI data exist. Without an RST or PNL saturation log confirming residual oil in the open perforated zone, allocating workover capital to this well is not technically justified.</t>
  </si>
  <si>
    <t>Kopar-00011</t>
  </si>
  <si>
    <t>Kopar Field</t>
  </si>
  <si>
    <t>No perforations data recorded</t>
  </si>
  <si>
    <t>Not enough evidence. No completion record found. Perforations were never executed (confirmed by blank perforating fields in CCI run). Well was not completed.</t>
  </si>
  <si>
    <t>Not enough evidence. No completion record, no pump or ESP record in any file. Lift type unknown.</t>
  </si>
  <si>
    <t>Severe. Fish confirmed at 1,348 ft MD (23 March 1979 CCL). Could not pass 1,371 ft MD. PBTD inaccessible. No CBL data. No dual barrier verification. 10-3/4" K-55 casing (surface to 996 ft) uninspected for 47 years. Wellhead condition unknown.</t>
  </si>
  <si>
    <t>Fish in wellbore at 1,348 ft MD blocked completion. No perforations fired. Well never reached production. Fish is the direct cause of idle status.</t>
  </si>
  <si>
    <t>Directional oil producer (drilled 1979, never completed). Idle well under Indonesian SKK Migas idle well regulation. Regulatory status (idle vs. P&amp;A) requires confirmation.</t>
  </si>
  <si>
    <t>Good (Score 4). Onshore KOPAR field, Pekanbaru area, Riau, Sumatra. Coordinates: N 192,109.34 m / E 348,191.54 m (Greenwich). Established Rokan Block infrastructure. Road access expected. Current site condition unverified — site visit required.</t>
  </si>
  <si>
    <t>Not enough evidence. No surface facility, flowline, or tie-in record found in any of the five files. KOPAR field is an active Rokan Block area, so field infrastructure likely exists nearby, but no well-specific facility data is documented.</t>
  </si>
  <si>
    <t>The single most important finding for KOPAR #11 is that this well never produced a single barrel of oil. A 7" drill collar fish became lodged at 1,348 ft MD during the 1979 drilling operation, blocking the Schlumberger CCL tool from passing 1,371 ft MD and preventing any perforation or completion work from being executed — the perforating fields in the CCL record are entirely blank. The fish sits in open hole below the 996 ft casing shoe, placing it 3,000 to 3,800 ft above the Bekasap, Bangko, and Menggala reservoir targets, which means no downhole access to any productive zone is possible in the current well state. A P&amp;A notation on the April 1979 GR log header confirms the well was suspended or abandoned immediately after the log runs, and no documented intervention, inspection, or activity of any kind has occurred in the 47 years since. The result is a well with confirmed geological targets in formations that are productive elsewhere in the Rokan Block, but zero production history, zero pressure data, zero reserve estimate, and a mechanical obstruction that requires a full rig fishing operation as the minimum entry point before any reservoir evaluation can even begin.</t>
  </si>
  <si>
    <t>Kopar-00013</t>
  </si>
  <si>
    <t>Bekasap Fm(4), Bangko(1), Menggala sd(1)</t>
  </si>
  <si>
    <t>Bekasap (4380 sd, 4450 sd)
Bangko (4650 sd,  4750 sd)
Menggala (4800 sd)</t>
  </si>
  <si>
    <t>Cased hole, directional, 7" casing, multi-interval perforations, 3-1/2" tubing, packer</t>
  </si>
  <si>
    <t>Not documented at original completion. Inferred (ESP or PCP) from 2,800 BFPD fluid rate.</t>
  </si>
  <si>
    <t>NA. No post-completion CBL, casing test, or workover records in provided files.</t>
  </si>
  <si>
    <t>Economic limit at 99.6% WC inferred. No formal shut-in report in provided files.</t>
  </si>
  <si>
    <t>Oil producer, directional development well</t>
  </si>
  <si>
    <t>Onshore, established CPI field, good year-round road access inferred</t>
  </si>
  <si>
    <t>Kopar Field gathering system. High fluid handling confirmed historically. Current capacity unverified.</t>
  </si>
  <si>
    <t>Based on a 12-parameter screening assessment using available data, the well scores 33 out of 60 (average 2.75), placing it in Tier 3 (High Complexity / Deferred) under the reference matrix frameworkKOPA00013 is a 46-year-old directional development well in the Kopar Field, Riau, that produced continuously from at least July 2002 until February 2018, accumulating a minimum of 286 MBbl of oil over the recorded production period, but it shut in with a water cut of 99.6% at only 10.5 BOPD on its last 7 producing days. The well still carries real reservoir energy, confirmed by a sustained total fluid rate of 2,800 BFPD right up to shut-in, which means the formation has not collapsed and pressure support exists, but virtually all of that energy is now producing water, not oil. The core problem is that no diagnostic data exists in the provided files to explain why, whether the water comes from one dominant zone that could be shut off, whether residual oil remains behind pipe in an unperforated interval, or whether the entire reservoir section is simply swept out. Without workover records, a PLT survey, an RST or PNL saturation log, and a current BHP measurement, it is impossible to determine whether this well has a viable reactivation path or should proceed directly to a plug and abandon study. The single action that unlocks the decision is retrieving the complete CPI well file from the data room and running a saturation log. If that log confirms residual oil in any interval, a water shutoff or selective re-perforation program becomes technically justified. If it confirms full depletion across all zones, the well should be deferred to abandonment.</t>
  </si>
  <si>
    <t>Kopar-00014</t>
  </si>
  <si>
    <t>Bekasap Fm(3), Bangko Fm(1), Menggala Fm(6)</t>
  </si>
  <si>
    <t>Bekasap (4380 sd, 4450 sd)
Bangko (4610 sd)
Menggala (4800 sd, 4850 sd, 4900 sd)</t>
  </si>
  <si>
    <t>NA. Indirect: T_MN4900 water-only confirmed by RST</t>
  </si>
  <si>
    <t>Cased hole, 7-inch, cemented and perforated, directional S-type</t>
  </si>
  <si>
    <t>Not documented in any provided file</t>
  </si>
  <si>
    <t>Partially known. Cement confirmed 1981. No post-1981 CBL or caliper. Dual barrier unverified. Casing age 44 years.</t>
  </si>
  <si>
    <t>Oil producer, directional delineation well</t>
  </si>
  <si>
    <t>Onshore Kopar Field, Riau. Established CPI field. No access restriction documented.</t>
  </si>
  <si>
    <t>Kopar Field gathering system, CPI operated. Surface infrastructure confirmed functional June 2015.</t>
  </si>
  <si>
    <t xml:space="preserve">Well KOPA00014 / O-W1-66 (#14) is a technically credible idle well candidate with direct RST-confirmed residual oil saturation in multiple Bekasap and Menggala sand intervals
Based on the RST evaluation conducted on 4 June 2015, well O-W1-66 (#14) in Kopar Field, Riau, is an idle multi-zone oil producer with confirmed residual oil saturation in at least five sub-intervals across the Bekasap and Menggala formations, with the strongest candidates being T_BK4380 at 4979-4989 ft (So ~45%, open perforation) and T_MN4800 at 5472-5483 ft (So ~45%, open perforation). The deepest open perforations in T_MN4900 (5567-5614 ft) produce only water and are the most likely source of high water cut on the commingled completion. The well was drilled in 1981 as a directional delineation well and has no documented production history, pressure data, PI measurement, or post-completion integrity survey in any of the provided files, making data completeness the single biggest obstacle to a reactivation decision. The RST confirms this well still holds bypassed or undrained oil in multiple thin sands, but before any workover capital is committed, the team must first confirm wellbore integrity (the 7-inch casing is now 44 years old), isolate the water-producing T_MN4900 interval, and conduct a swab test on T_BK4380 to establish a real deliverability number.
</t>
  </si>
  <si>
    <t>Kopar-00021</t>
  </si>
  <si>
    <t>Bekasap(3), Bangko Fm(5), Menggala(7)</t>
  </si>
  <si>
    <t>Bekasap (4380 sd, 4450 sd)
Bangko (4580 sd, 4650 sd, 4750 sd)
Menggala (4850 sd, 4900 sd, 5100 sd, 5200, 5250 sd)</t>
  </si>
  <si>
    <t>0.06 BOPD (March 2014, 2 days, 0.12 Bbls). Last meaningful: 15.9 BOPD (November 2013).</t>
  </si>
  <si>
    <t>March 2014: ~95%. November 2013: ~10%. October 2013: ~5%.</t>
  </si>
  <si>
    <t>Cased hole, 7-inch K-55 cemented. Perforated completion via HSD wireline gun. Tubing size not stated.</t>
  </si>
  <si>
    <t>Not documented. ESP inferred from fluid volumes and completion depth.</t>
  </si>
  <si>
    <t>Partially known. Wireline accessed TD cleanly March 2014. No casing leak or fish documented. No post-2014 inspection.</t>
  </si>
  <si>
    <t>Not documented. Most probable: reservoir non-response, lift failure, or surface constraint post-perforation.</t>
  </si>
  <si>
    <t>Vertical oil producer, Kopar Field.</t>
  </si>
  <si>
    <t>Onshore Kopar Field, Riau. Year-round access. Workover rig HPS-05 confirmed on site March 2014.</t>
  </si>
  <si>
    <t>Kopar Field gathering system, CPI-operated. Facility confirmed functional through 2014 production record. Current status unconfirmed.</t>
  </si>
  <si>
    <t xml:space="preserve">KOPA00021 (S1-O-43 #21, Kopar Field) is a mature onshore Riau well with a long production history dating back to 1990, and it shows genuine reactivation potential but carries a critical unresolved question. The well produced at peak rates above 180 BOPD in mid-2012 and recovered strongly in late 2013 at 27 to 28 BOPD with water cut as low as 5%, pointing to a productive interval with residual oil still in place. A wireline perforation job in March 2014 successfully opened a new interval at 4,752 to 4,764 ft in sound 7-inch K-55 casing with no obstruction to TD at 4,846 ft, confirming the wellbore was mechanically accessible at that time. Despite that technically successful operation, the well produced zero oil from April 2014 through July 2015, and no post-perforation well test, workover report, BHP survey, or shutdown reason exists in the available data to explain why. Until that question is answered and a current BHP survey, saturation log, and ESP condition check are completed, this well sits at Medium Priority, technically alive but not ready for an AFE.
</t>
  </si>
  <si>
    <t>Kopar-00024</t>
  </si>
  <si>
    <t>Bangko(1), Menggala(3), Pematang(1)</t>
  </si>
  <si>
    <t>Bangko (4610 sd)
Menggala (4800 sd, 4850 sd)
Pematang (5360 sd)</t>
  </si>
  <si>
    <t>August 2015: 1.1 BOPD (1 day only, not representative). Last sustained rate: June 2007 average 3.9 BOPD over 23 days</t>
  </si>
  <si>
    <t>August 2015: 98.9%. June 2007: 99.1%. March–June 2007 range: 99.1–99.2%</t>
  </si>
  <si>
    <t>Cased hole. 7" J-55 23 lb/ft production casing cemented to 5,602 ft with TD at 5,605 ft. Four-string casing program: 24" conductor at 40 ft, 13-3/8" surface casing at 396 ft, 9-5/8" intermediate casing at 2,755 ft. Perforation intervals not documented in provided files</t>
  </si>
  <si>
    <t>Not documented in any provided file. Inferred as ESP based on sustained fluid volumes exceeding 400–500 BFPD during active years 1999–2004, peaking at approximately 15,000 Bbls water/month (~480+ BWPD) in late 2006 to early 2007</t>
  </si>
  <si>
    <t>Cement confirmed sound at completion December 1990: plug bump at 2,500 psi, 20 Bbls returns at surface. No workover records, no post-completion CBL, no casing inspection, no tubing pressure test, no integrity survey in any provided file. Wellbore condition after 18+ years idle is unknown</t>
  </si>
  <si>
    <t>Not formally documented. Inferred from production data: well reached economic limit at extreme water cut. Oil rate declined from ~300 BOPD in September 2002 to below 4 BOPD by mid-2007 at &gt;99% WC. No mechanical failure or surface event is documented in the provided files</t>
  </si>
  <si>
    <t>Oil producer, vertical development well. Drilled as part of the Sidinging Field 4-well development package (1990)</t>
  </si>
  <si>
    <t>Onshore Kopar Field, Central Sumatra. Rig L-1 (BN-05) operated at this pad without documented access difficulty in December 1990. One production day in August 2015 confirms some field access continued after the 2007 shutdown. No seasonal or road constraint noted in any provided document</t>
  </si>
  <si>
    <t>Kopar Field production gathering system, CPI-operated. Assumed functional given production continued through 2007 and a single-day allocation entry exists in 2015. No specific separator allocation, flowline routing, or water handling capacity data is in any provided file</t>
  </si>
  <si>
    <t>The key finding for KOPA00024 is that it is effectively a watered-out and likely depleted Kopar producer, with the last representative performance showing only about 4 BOPD at roughly 99 percent water cut in mid-2007, followed by essentially no sustained production afterward except one isolated one-day entry in August 2015 at 1.1 BOPD and 98.9 percent water cut, which is not enough to support a normal reactivation case. The well does show historical oil capacity, with peak daily oil rates around 244 to 302 BOPD in late 2002, but the later collapse in oil rate and extreme water cut indicate that any remaining value now depends on proving a new or behind-pipe target rather than returning the existing producing interval to service. In practical terms, this well should stay deferred unless you first confirm bypassed oil, current wellbore access, and acceptable recompletion economics through the missing well file, saturation data, and integrity checks</t>
  </si>
  <si>
    <t>Kopar-00031</t>
  </si>
  <si>
    <t>Pematang Fm</t>
  </si>
  <si>
    <t>No data detail about sand perforations</t>
  </si>
  <si>
    <t>Horizontal</t>
  </si>
  <si>
    <t>23.9 BOPD calculated from allocation (Jun-2015: 238.7 Bbls / 10 prod days); matrix indexes 30 BOPD</t>
  </si>
  <si>
    <t>98.4% calculated from allocation; matrix indexes 100%</t>
  </si>
  <si>
    <t>Horizontal / open-hole or cased-hole producer; completion schematic not provided</t>
  </si>
  <si>
    <t>ESP — indexed in well file and pump records; current condition unverified</t>
  </si>
  <si>
    <t>Moderate / Uncertain — tubing leak (LOT=0), sand fill 724–730 ft PBTD, CBL and packer referenced; Integrity KO = YES</t>
  </si>
  <si>
    <t>WS (workover/service), PERFO, SWAB indexed as last recorded activities</t>
  </si>
  <si>
    <t>Oil Producer — horizontal / deviated</t>
  </si>
  <si>
    <t>Good / Easy — onshore Kopar Field; year-round road access confirmed</t>
  </si>
  <si>
    <t>Kopar surface facility — wellhead, flowline, choke manifold confirmed indexed; current readiness unverified</t>
  </si>
  <si>
    <t>KP031 (KOPA00031H1) is a horizontal producer in the Kopar field, Petani AMT / Bekasap North reservoir, with an indexed last oil rate of 30 BOPD and a water cut signal of 100%, and it sits in the screening matrix as an Excluded / Priority 2 candidate driven by an Integrity Knockout flag. The well shows a strong oil-deliverability signal based on its historical production and reservoir stack coverage (Bekasap, Menggala, Bangko, and Duri formations), but the current screening is blocked by two hard constraints: a 100% water cut signal at the last indexed production date, and a severe integrity score (Score 1) tied to documented evidence of a tubing leak, a Leak Off Test anomaly, sand fill from 724 to 730 ft to PBTD, and unresolved PBTD accessibility. The production allocation history confirms that KP031 operated from 2001 through mid-2015 with peak monthly oil in 2001 to 2003 and a clear progressive decline to near-zero oil contribution in its final active months, with water dominating the fluid stream throughout 2014 to 2015 at over 95% water cut calculated from the allocation data. The well cannot be sanctioned for reactivation under the current data state. The path forward requires a current wellhead inspection and pressure test, a slickline drift run to confirm PBTD access and quantify sand fill, a static pressure gradient survey to establish reservoir energy, and an RST or PNL saturation check to identify whether any bypassed oil or behind-pipe zone remains in the Petani AMT or Menggala stack, and only if those steps return positive results should a revised workover concept and AFE be prepared.</t>
  </si>
  <si>
    <t>Kopar-00032</t>
  </si>
  <si>
    <t>4850 sd</t>
  </si>
  <si>
    <t>Approximately 6 BOPD (12.4 bbl over 2 production days in July 2014). Last sustained rate in Feb-Mar 2014 was approximately 13 to 15 BOPD average.</t>
  </si>
  <si>
    <t>Approximately 98 to 99% based on 2014 allocation data (oil ~12 to 380 bbl/month against water ~20,000 to 22,000 bbl/month). Last formal well test in March 2007 recorded 100% WC.</t>
  </si>
  <si>
    <t>Horizontal open-hole completion. No perforation guns used. Horizontal section in Menggala FM below 4,850 ft SD. 9-5/8" production casing to 5,340 ft MD with open hole to TD.</t>
  </si>
  <si>
    <t>ESP (Electric Submersible Pump). Last installed unit: P6 / 143 stages / 63 HP, set at 4,550 ft (installed Oct 2013 via PMP16). Previous unit: FC-1200 / 172 stages / 133 HP at 4,659 ft. Current ESP condition in-hole is unknown.</t>
  </si>
  <si>
    <t>No documented casing leak, tubing failure, or cement failure in provided files. Minor pump issues noted (motor hard, pump stuck in 2005). Casing scraper required in 2013, suggesting possible scale or debris. Dual barrier status not documented. Accessibility below 3,498 ft MD unconfirmed. No CBL or MIT log in provided files. Overall: Moderate, pending verification.</t>
  </si>
  <si>
    <t>Bottom-water coning in horizontal Menggala section. Confirmed 100% water cut from late 2006. Well shut in May 2008 after sustained zero oil production. 2013 reactivation failed to recover oil beyond trace volumes.</t>
  </si>
  <si>
    <t>Horizontal oil producer, ESP-lifted. Classified as idle/LTC. UWI: KOPA00032H1.</t>
  </si>
  <si>
    <t>Kopar Field, Riau Province, Sumatra. Mature onshore field within active Rokan Block operations. No access constraint documented. Standard field mobilization applied in 2013 PMP16.</t>
  </si>
  <si>
    <t>Surface production tree, BOPE substructure, and ESP surface equipment referenced in PMP16 procedures. Production tied into Bekasap AMT surface facilities. Specific current facility status (separator, flow line condition) not documented in provided files.</t>
  </si>
  <si>
    <t xml:space="preserve">KP032 (O-W1-88C) is a horizontal ESP producer in the Menggala Formation, Kopar Field, that has been idle since mid-2014 following a failed reactivation attempt. The well produced strongly in its early years, peaking at roughly 720 BOPD in 2002 with a cumulative of 350,495 barrels by May 2008, but collapsed to 100% water cut by late 2006 due to confirmed bottom-water coning. The 2013 reactivation campaign (PMP16) attempted to manage coning by down-sizing the ESP and reducing drawdown, but the well returned zero oil and was shut in again by late 2014. The screening matrix scores the well at 29 out of 55 scored points, placing it in LOW priority with a Knockout Risk flag driven by the complete absence of any saturation log (RST or PNL) to confirm whether residual oil still exists in the horizontal section. The single most important technical question before any further investment is whether the horizontal wellbore still holds recoverable oil, because without that confirmation, every other parameter, cost, lift design, and workover scope, is academic. The well has been idle for approximately 12 years, which is long enough for the water cone to have partially receded, so it warrants a low-cost saturation log run before being written off entirely.
</t>
  </si>
  <si>
    <t>Kopar-00033</t>
  </si>
  <si>
    <t>Bangko Fm(3), Menggala Fm(3)</t>
  </si>
  <si>
    <t>Bangko (4610 sd, 4650 sd)
Menggala (4850 sd)</t>
  </si>
  <si>
    <t>4.46 BOPD (40.18 bbl / 9 prod days)</t>
  </si>
  <si>
    <t>Not enough evidence</t>
  </si>
  <si>
    <t>Not enough evidence (ESP likely by KOPAR analogy)</t>
  </si>
  <si>
    <t>Not enough evidence (multiple flags likely after 12 yrs idle)</t>
  </si>
  <si>
    <t>Uneconomic — near-zero oil rate, WC 99.6%</t>
  </si>
  <si>
    <t>Oil producer — onshore vertical (inferred from UWI D1 convention)</t>
  </si>
  <si>
    <t>Good / Easy — onshore KOPAR field (provisional by analogy)</t>
  </si>
  <si>
    <t>KOPAR field has active surface infrastructure; specific well tie-in capacity unverified</t>
  </si>
  <si>
    <t>KP033 (KOPA00033D1) is an onshore KOPAR field well that has been idle for 12 years since its last production in April 2014. The well peaked at 145 BOPD in January 2005 but declined steadily, finishing at just 4.5 BOPD with a water cut of 99.6% before shut-in, and that water cut had been above 99% consistently since 2006. Current PI sits at roughly 3–5% of its peak, indicating severe near-wellbore impairment on top of an already uneconomic fluid profile. The well carries a Knockout flag driven by the sustained high water cut, and with data completeness below 40%, no pressure data, no integrity records, no reserve study, and no completion schematic available, there is no technical basis to sanction any reactivation work at this stage. The immediate priority is data collection, specifically a wellhead integrity check, a current reservoir pressure survey, a PLT to diagnose the water source, and a behind-pipe saturation evaluation, before this well can be reconsidered as a reactivation candidate.</t>
  </si>
  <si>
    <t>Kopar-00039</t>
  </si>
  <si>
    <t>Provisional: cased-hole horizontal, single lateral, liner completion. 9-5/8 in shoe at 5,670 ft MD. 8-1/2 in lateral to 6,850 ft MD. Liner run planned per EoWR Run 800 but execution not confirmed.</t>
  </si>
  <si>
    <t>NA. No lift type confirmed in folder. Gas lift or ESP typical for horizontal Kopar wells.</t>
  </si>
  <si>
    <t>Partial. Accidental sidetrack at ~5,664 ft MD remediated by cement plug (Run 600). Cement quality not CBL-confirmed. No post-completion barrier verification. Dual barriers unverified. Wellhead condition unknown.</t>
  </si>
  <si>
    <t>Not confirmed. No production or shutdown record in folder.</t>
  </si>
  <si>
    <t>Horizontal development oil producer. CPI Kopar field.</t>
  </si>
  <si>
    <t>Provisional: Good, year-round access. Onshore Riau, CPI-operated infrastructure confirmed during 2015 drilling. Current road condition not confirmed.</t>
  </si>
  <si>
    <t>Not confirmed. Kopar is an active CPI onshore field but facility availability for this specific location not documented in folder.</t>
  </si>
  <si>
    <t xml:space="preserve">Kopar O-O-55A (KOPA00039H1) is a horizontal development well drilled by PT. Chevron Pacific Indonesia in the Kopar field, Riau, between November 20 and December 26, 2015, reaching a total depth of 6,850 ft MD with a 1,180 ft lateral section at maximum inclination of 96.38 degrees. During drilling, an accidental sidetrack occurred below 5,664 ft MD in the 8-1/2 inch lateral section, requiring the string to be pulled and a cement plug set before a successful re-entry was made with a revised motor bend angle, ultimately completing the lateral to TD. The available folder contains only Halliburton Sperry Drilling MWD and directional survey records. There is no completion report confirming whether a liner was successfully run, no production history, no reservoir or pressure data, no integrity logs, and no well test, leaving 11 of the 12 screening parameters unscorable. The well is assigned a provisional Priority 2 status solely on the basis of its 2015 drilling age and horizontal Kopar sand target, but no investment decision can be made until CPI asset records covering the post-drill completion, production history, and reservoir data are retrieved and a current wellhead inspection and barrier verification are completed.
</t>
  </si>
  <si>
    <t>Libo-00012</t>
  </si>
  <si>
    <t>Libo field</t>
  </si>
  <si>
    <t>Bekasap Fm(7)</t>
  </si>
  <si>
    <t>5350 Up sd, 5350 Lo sd</t>
  </si>
  <si>
    <t>Last Test 29 Dec 2018</t>
  </si>
  <si>
    <t>Cased hole, vertical well. 7-in production casing (J-55, 23 lb/ft) to 5,744 ft. 3.5-in tubing (J-55 EUE, 9.3 lb/ft) landed at 5,351 ft. G6 packer set at 5,318 ft. CIBP at 5,485 ft. Surface casing 10.75-in to 1,685 ft cemented to surface. Multi-zone perforated completion with CIBP zone isolation</t>
  </si>
  <si>
    <t>ESP indicated in indexed well-file and pump records. No ESP currently in hole. Wellbore schematic as of January 2022 shows open-ended tubing at 5,351 ft, no pump assembly present. Last pump type and size not confirmed in available documents. Junk CIBPs in wellbore below 5,485 ft prevent ESP reinstallation until fishing is completed</t>
  </si>
  <si>
    <t>Moderate to major concern. Documented issues: (1) casing corrosion with corrosion inhibitor treatment history, (2) tubing leak history ("Leak - PROG BY TFM"), (3) unresolved junk CIBPs and Mod P packer remnants below 5,485 ft, (4) last CBL run September 1987 only, no post-1987 casing integrity log, (5) dual barrier status unconfirmed. Wellbore accessible to 5,484 ft confirmed by March 2022 spinner. PBTD at 5,711 ft not fully accessible due to junk in rathole. BHP 2,229.79 psi at 5,484 ft confirmed during shut-in survey</t>
  </si>
  <si>
    <t>Combination of absent artificial lift (no ESP in hole), unresolved junk in wellbore (junk CIBPs and Mod P packer below 5,485 ft), and tubing/casing integrity concerns. Integrity issues likely contributed to idle status. LTC recorded December 2019</t>
  </si>
  <si>
    <t>Oil producer, vertical development well, Rokan idle-well screening candidate. Originally classified as development gas well at spud (1976), reclassified as oil producer after completion testing</t>
  </si>
  <si>
    <t>Good / Easy. Onshore Libo field. Established road access confirmed. Year-round access. Coordinates: N 148,653.04 m, E 350,843.72 m (Pekanbaru system). Ground elevation 105.78 ft, rotary table elevation 123.28 ft</t>
  </si>
  <si>
    <t>Wellhead present and accessible (GRCCL run July 2023 confirms surface access). Wellhead type: Gray 10.75 x 7 x 3.5-in, 3,000 psi. Libo field surface facility and flowline infrastructure referenced. Wellhead and flowline operational readiness for workover rig mobilization to be field-verified before sanction</t>
  </si>
  <si>
    <t xml:space="preserve">LIBO00012 is a shut-in Bekasap South producer on the Libo field, Rokan block, last confirmed idle since December 2019 with 0 BOPD indexed production signal as of July 2023. The well targets the UBK5350 Bekasap sand, and three open perforations at 5,458-5,461 ft, 5,464-5,472 ft, and 5,474-5,480 ft recorded active reservoir pressure of 2,264-2,271 psi during the March 2022 spinner survey, confirming the reservoir is still live with a current BHP of 2,229.79 psi at 5,484 ft. The BK5300 sand is squeezed out and the LBK5350 intervals were isolated by a water shut-off job in October 2021. The primary barrier to reactivation is mechanical, not geological. Junk CIBPs and a Mod P packer remnant sit in the wellbore below 5,485 ft, no ESP is currently installed, the last CBL dates back to 1987, and the well carries documented casing corrosion and tubing leak history. These combined issues require a full workover rig to resolve fishing, replace the tubing string, verify casing integrity, and install a new ESP before any production can be restored.
</t>
  </si>
  <si>
    <t>Libo-00016</t>
  </si>
  <si>
    <t>Libo Field</t>
  </si>
  <si>
    <t>Bekasap Fm(4)</t>
  </si>
  <si>
    <t>26 BOPD (last production test 09-Jul-2010)</t>
  </si>
  <si>
    <t>78.0% (last production test 09-Jul-2010)</t>
  </si>
  <si>
    <t>Vertical cased-hole oil producer, 7 in production casing to 5,746 ft, 3.5 in tubing</t>
  </si>
  <si>
    <t>Tubing pump, last recorded as 2-1/4 in x 15 ft, set at 5,395-5,500 ft. Pulled with 70% scratch in Oct 2010. No pump currently in well</t>
  </si>
  <si>
    <t>Moderate to major concern. Good CBL bonding at initial completion (May 2010). Tubing pump pulled with 70% scratch Oct 2010. PBTD listed as 0 ft in Jan 2013 recommendation. No post-2013 CBL or barrier verification</t>
  </si>
  <si>
    <t>LTC due to inability to sustain oil production under artificial lift and high water cut in BK5350 Lower Sand</t>
  </si>
  <si>
    <t>Oil producer, vertical well</t>
  </si>
  <si>
    <t>Onshore Libo Field, Riau Province, Indonesia. No major access restrictions recorded. Rig unit MINI LASH used in 2010</t>
  </si>
  <si>
    <t>Established wellhead and surface production equipment present. Flare stack and test handling referenced in 2013 workover procedure. No separator or SWD capacity data in folder</t>
  </si>
  <si>
    <t xml:space="preserve">LB016 (S1-E1-38) is a vertical idle oil producer in the Libo Field, Riau, Indonesia, drilled in April 2010 and placed on LTC status since January 2011 after producing only 2,688 BO cumulative. The well was completed in the BK5350 Lower Sand (5,528-5,552 ft), which quickly watered out to 78% WC under tubing pump, and the pump underperformed on pull-out with 70% scratch, both contributing to the idle decision. The real opportunity sits in the BK5350 Upper Sand (5,496-5,502 ft), which was never perforated and still holds near-original RFT pressure of ~793 psi as of April 2010, with offset well LB007 confirming the same formation produced 348 BOPD on initial completion. A Chevron subsurface team recommended in January 2013 to squeeze off all lower BK5350 intervals, reperforate BK5350_U, and swab-to-flow as a gas conversion job at an estimated cost of only USD 71,980, making the intervention cost case highly attractive. The critical blocker is that PBTD is recorded as 0 ft in the 2013 recommendation, meaning wellbore access to the target perforation depth is unconfirmed, and no post-squeeze CBL, barrier verification, or current pressure survey exists in the file set. Until a wireline drift, casing pressure test, and a quick SBHP survey are completed, this well sits at Medium priority with a total screening score of 38 out of 60, and should not be sanctioned for workover without those three low-cost validation steps first.  ( change integrity risk from 2 to level 3 )
</t>
  </si>
  <si>
    <t>Libo SE-00046</t>
  </si>
  <si>
    <t>Libo Southeast Field</t>
  </si>
  <si>
    <t>Bekasap Fm(1), Bangko Fm(4), Menggala Fm(2)</t>
  </si>
  <si>
    <t>Bekasap (5350 sd)
Bangko (5430 sd, 5600 sd)
Menggala (5680 sd)</t>
  </si>
  <si>
    <t>0.33 BOPD (0.664 bbl / 2 days, Oct 2022)</t>
  </si>
  <si>
    <t>Directional, 7" prod casing, 4.5" tubing, pack-off at 5,800 ft, 4.5" liner 5,882–6,107 ft, cased-hole multi-zone</t>
  </si>
  <si>
    <t>ESP indexed in screening database; not confirmed in 2021 completion sketch; current status unverified</t>
  </si>
  <si>
    <t>Moderate/uncertain; wireline accessible to 6,289 ft; CBL 2019; casing intact; casing corrosion and tubing leak signals flagged in screening database; dual barrier unverified</t>
  </si>
  <si>
    <t>Economic water cut (&gt;99.8%); not caused by mechanical failure</t>
  </si>
  <si>
    <t>Oil producer, directional, development well; Rokan idle-well screening candidate</t>
  </si>
  <si>
    <t>Good/Easy; onshore LIBO SE; year-round road access; ~10 km from Duri base</t>
  </si>
  <si>
    <t>LIBO SE surface facility present; wellhead and flow line confirmed; current readiness requires field verification</t>
  </si>
  <si>
    <t>LISE00046D1 is a technically intact but economically challenged well. Its primary producing zone is water-flooded with no prospect of economic recovery from the currently open completion. The well scored 24/55 on the idle well screening matrix, placing it in the Low Priority band with no knockout flag. The low score reflects the exhausted open zone (WC &gt;99%), absent critical subsurface data, a full workover requirement for remaining candidates, and unconfirmed artificial lift status.The well retains option value because the wellbore is physically sound, the field infrastructure is in place, and multiple sand units have been identified on log that have not been recently tested. However, this option value can only be realized after a defined data acquisition program confirms that economically viable residual oil exists in the behind-pipe zones.Reactivation should not be sanctioned at this time. The next decision point is the RST/PNL saturation result. That single data point, combined with a pressure survey and a reserve estimate, will determine whether the well is a viable workover candidate or a deferred P&amp;A case.</t>
  </si>
  <si>
    <t>Minas-00526</t>
  </si>
  <si>
    <t>Minas Field</t>
  </si>
  <si>
    <t>X-sd, A1 sd, A2 sd</t>
  </si>
  <si>
    <t>0.61 BOPD (9.17 bbl / 15 prod days, May-2020, allocated). Last accepted well test: 73 BOPD on 26-Mar-2016 at WHP 335 psi (ACCEPTED). Best recent accepted test: 123 BOPD on 24-Feb-2016.</t>
  </si>
  <si>
    <t>99.98% (May-2020 allocation). Last well test water cut: 99.43% on 07-Apr-2016; 99.36% on 26-Feb-2016; 99.12% on 24-Feb-2016. Trend: consistently above 99% from at least early 2015.</t>
  </si>
  <si>
    <t>Vertical well. Cased hole, 7-in 23 ppf J-55 production casing set at 2,522 ft. 10.75-in surface casing to 413 ft. TD 2,530 ft, PBTD 2,489 ft. Multi-zone completion with CP (cup packer) assembly isolating lower A1 and A2 zones. Tubing 3.5-in J-55 EUE 69 joints. No packer above CP assembly.</t>
  </si>
  <si>
    <t>ESP (Electric Submersible Pump), REDA brand. Last confirmed pump in hole: HN-15000/49/450 HP, set at 2,061 ft RT (from Apr-2015 WO). Earlier run in same configuration 339 days by Apr-2016. FAP (Fluid Above Pump) was at 1,278-1,495 ft range in early 2016. Well has used ESP since initial completion 1985, with multiple pump changes on record (1988, 1990, 1995, 1999, 2015).</t>
  </si>
  <si>
    <t>Good, with one active issue. No casing leak, crossflow, or structural failure documented in post-1990 records. Casing pressure-tested 500 psi and held OK in Apr-2015. PBTD accessible to at least 2,326 ft (sand pump tag 1995). Original CBL (Jun-1985) showed bad bonding at producing zones, followed by a squeeze cement job. No CBL rerun since 1985. Current integrity concern: ESP cable disconnected (zero MEG in doughnut), which is an electrical issue, not a structural wellbore failure. Dual barrier status not formally confirmed in recent records. Casing is 7-in J-55 installed 1985, now over 40 years old, no corrosion survey on file.</t>
  </si>
  <si>
    <t>Zero MEG (megohm) reading in doughnut connector on ESP cable, indicating cable electrical isolation failure. The Apr-2016 Well Service program recommended raising up 1 joint of tubing to reconnect the REDA cable. The well was placed OFF/SS (shut-in standing by) on 06-Apr-2016 after the reconnect job. Production continued intermittently until June 2020 when the well fully stopped. The ultimate idle classification from 2020 reflects both the cable issue and commercially non-viable ultra-high water cut (&gt;99%).</t>
  </si>
  <si>
    <t>Oil Producer, Vertical, Development Well. Field: Minas. SBU: Minas-A06. Classification on original completion report: "Development Oil Well."</t>
  </si>
  <si>
    <t>Easy, year-round. Onshore Minas field, Riau Province, Sumatra. Established field with full road infrastructure. Minas is a major operated field with continuous operations since the 1950s. One historical note: the Oct-1995 tour report recorded a muddy location requiring road grading before rig move, typical of wet-season conditions in Sumatra. No permanent access restriction documented.</t>
  </si>
  <si>
    <t>Minas CPF (Central Processing Facility) GS-6, confirmed active. Wellsite is within the GS-6 grid area (6FA4). Water handling (SWD) active, evidenced by water injection allocation volumes present in the production history file across multiple years. Flowline and surface equipment confirmed as operational during prior production periods. No facility capacity constraint identified in the available data.</t>
  </si>
  <si>
    <t>Well MINA00526 (3C-53) is a vertical ESP producer in the Minas field, Riau, Sumatra, drilled in 1985 and completed in the X and A1/A2 Bekasap sands at 2,287-2,344 ft. The well has produced a cumulative 2.06 MMbbl of oil over its life but is now effectively a water well, running consistently above 99% water cut since at least 2015 with a last allocated oil rate of only 0.61 BOPD in May 2020 before going fully idle in June 2020. The immediate idle trigger was an ESP cable disconnection (zero MEG in doughnut) recorded in April 2016, but the deeper issue is severe reservoir depletion in the open zones, with oil PI estimated below 10% of original and no saturation survey (RST or PNL) available to confirm whether any residual oil remains in the isolated LA1 and upper A2 zones. Mechanically the well is in reasonable condition: the PBTD is accessible, casing tested good in 2015, the ESP platform is well established in Minas, and the location has year-round road access. The well scores 33/60 on the 12-parameter screening matrix, placing it in the Low priority band, meaning it should not receive workover capital until a current pressure survey and saturation log confirm whether a behind-pipe recompletion or zone reactivation can deliver a commercially viable oil rate above 30 BOPD with positive NPV at base-case oil price.</t>
  </si>
  <si>
    <t>Minas-01255</t>
  </si>
  <si>
    <t>Bekasap Fm(9)</t>
  </si>
  <si>
    <t>A1 sd, A2 sd, B1 sd, B2 sd, B2A sd</t>
  </si>
  <si>
    <r>
      <t>3.2 BOPD</t>
    </r>
    <r>
      <rPr>
        <sz val="8.5"/>
        <rFont val="Times New Roman"/>
        <family val="1"/>
      </rPr>
      <t xml:space="preserve"> (calculated: 32 bbls / 10 days, Sep-2015 allocation). Last formal well test 28-Apr-2015: </t>
    </r>
    <r>
      <rPr>
        <b/>
        <sz val="8.5"/>
        <rFont val="Times New Roman"/>
        <family val="1"/>
      </rPr>
      <t>0 BOPD</t>
    </r>
    <r>
      <rPr>
        <sz val="8.5"/>
        <rFont val="Times New Roman"/>
        <family val="1"/>
      </rPr>
      <t xml:space="preserve"> (2,112 BFPD / 99.98% WC).</t>
    </r>
  </si>
  <si>
    <r>
      <t>99.98%</t>
    </r>
    <r>
      <rPr>
        <sz val="8.5"/>
        <rFont val="Times New Roman"/>
        <family val="1"/>
      </rPr>
      <t xml:space="preserve"> (last well test 28-Apr-2015). Sep-2015 allocation ~99.95%. Consistent across all tests since Nov-2013.</t>
    </r>
  </si>
  <si>
    <t>Cased hole, directional, multi-zone, ESP-lifted. Casing: 13-3/8" H-40 @ 0-383 ft; 9-5/8" K-55 36 ppf @ 0-2,431 ft; 7" K-55 26 ppf @ 2,431-2,721 ft. Tubing: 75 jts 3.5" EUE. TD 2,762' MD / PBTD 2,721' MD. Max incl. 38 deg, BUR 3.99 deg/100 ft, KOP 300 ft.</t>
  </si>
  <si>
    <r>
      <t>ESP</t>
    </r>
    <r>
      <rPr>
        <sz val="8.5"/>
        <rFont val="Times New Roman"/>
        <family val="1"/>
      </rPr>
      <t>. Last installed Nov-2014: SN-3600 / 34 stages / 60 HP, set at 2,357 ft (BOM 2,372 ft), 164 run days by May-2015. Previous ESP: D-1150N / 46 stages / 30 HP @ 2,289 ft. Current: shut in &gt;10 years, replacement required. ESP hardware available in Minas field.</t>
    </r>
  </si>
  <si>
    <r>
      <t>Moderate.</t>
    </r>
    <r>
      <rPr>
        <sz val="8.5"/>
        <rFont val="Times New Roman"/>
        <family val="1"/>
      </rPr>
      <t xml:space="preserve"> PBTD accessible to 2,721 ft (confirmed Nov-2014 WO). Fill found at 2,658-2,669' and cleaned. No casing damage, leak, crossflow, or fish. Casing swadge noted in completion diagram. CBL data: 9-5/8" and 7" casing, Feb-1999 only (27-year-old data). Dual barrier status: unverified.</t>
    </r>
  </si>
  <si>
    <r>
      <t>Primary:</t>
    </r>
    <r>
      <rPr>
        <sz val="8.5"/>
        <rFont val="Times New Roman"/>
        <family val="1"/>
      </rPr>
      <t xml:space="preserve"> Water-out and near-zero oil rate (OFF – SS_RESERVOIR). </t>
    </r>
    <r>
      <rPr>
        <b/>
        <sz val="8.5"/>
        <rFont val="Times New Roman"/>
        <family val="1"/>
      </rPr>
      <t>Contributing (2013):</t>
    </r>
    <r>
      <rPr>
        <sz val="8.5"/>
        <rFont val="Times New Roman"/>
        <family val="1"/>
      </rPr>
      <t xml:space="preserve"> Packer performance issue, resolved in Nov-2014 PKR03 WO. Post-WO production declined to 0 BOPD within ~6 months, confirming reservoir depletion as the dominant cause. May-2015 proposed PKR03 WO (open A2 2564-2569') apparently not executed — no tour report in file set.</t>
    </r>
  </si>
  <si>
    <r>
      <t>Idle producer, directional well, NWS Flood (waterflood).</t>
    </r>
    <r>
      <rPr>
        <sz val="8.5"/>
        <rFont val="Times New Roman"/>
        <family val="1"/>
      </rPr>
      <t xml:space="preserve"> Alliance Well. UWI: MINA01255D1. Legal name: 5B-16 (#1255). Field area: A06-MINAS, Area 6 (FA3). Initial completion date: 31-Dec-1988. Redrill/directional well drilled Dec-1998.</t>
    </r>
  </si>
  <si>
    <r>
      <t>Easy, year-round.</t>
    </r>
    <r>
      <rPr>
        <sz val="8.5"/>
        <rFont val="Times New Roman"/>
        <family val="1"/>
      </rPr>
      <t xml:space="preserve"> Grid 5B-16, Minas Field, Siak/Riau, Sumatra. Coordinates: Lat 0°48'02.923" S, Long 101°24'02.943" E (X = 544,423.82 m, Y = 78,384.93 m). Established onshore field, full road network, no seasonal constraints. Rig Besmindo CPI-09 previously mobilized without logistical issues.</t>
    </r>
  </si>
  <si>
    <r>
      <t>Minas Field CPF / Compressor Station — operational.</t>
    </r>
    <r>
      <rPr>
        <sz val="8.5"/>
        <rFont val="Times New Roman"/>
        <family val="1"/>
      </rPr>
      <t xml:space="preserve"> Well connected to Compressor Station 16-Jun-2000. Wellhead: 11" / 2,000 psi. Surface: flowline, WPF, doughnut cable housing in place. Active waterflood injection program near well confirmed. Water handling and SWD capacity operational.</t>
    </r>
  </si>
  <si>
    <t xml:space="preserve">Well MINA01255 / 5B-16 is an idle waterflood producer in the Minas Field that has been shut in since September 2015, with a last recorded oil rate of 3.2 BOPD and water cut above 99.95% on its A2 sand completion. The well is not abandoned due to mechanical failure. It was shut in purely because the A2 sand, which dominated the commingled production stream, is effectively water-out after years of active waterflood injection. The real technical opportunity sits in the B1 sand, which produced at 60% water cut on a standalone swab test in November 2014 and is supported by active injectors and an offset well (5B-17) that delivered 42 BOPD from a comparable zone in 2014. Intervention cost is low (historical actual ~USD 28,000, well under USD 0.5 million even at 2026 rates), access is year-round, and the ESP supply chain is in place. The blocking issue is not technical feasibility — it is three missing data items: a current SBHP survey to confirm reservoir energy, a decline curve reserve estimate, and an RST or PLT to directly confirm residual oil in B1. Until those three gaps are closed, the well scores Low priority (34/60) under the 12-parameter screening matrix, but the underlying B1 potential is real and should not be written off without proper evaluation.
</t>
  </si>
  <si>
    <t>Minas-01258</t>
  </si>
  <si>
    <t>A1 sd, A2 sd, B1 sd, B2 sd</t>
  </si>
  <si>
    <t>3.9 BOPD average (62.10 bbls / 16 prod days, Apr 2021). Last formal well test: 7 BOPD at 9,089 BFPD on 15 Oct 2015</t>
  </si>
  <si>
    <t>99.92% (last formal well test Oct 2015). April 2021 allocation implies WC remained &gt; 99.9%</t>
  </si>
  <si>
    <t>Cased hole, directional. Dual-zone selective via CPA + ARS-1 packer. 4.5 in tubing, 75 joints. Casing: 9.625 in K-55 to 2,430 ft; 7 in K-55/J-55 to 2,707 ft; surface H-40 13.375 in to 390 ft. TD 2,735 ft, PBTD 2,648 ft. Initial completion 6 Jan 1996</t>
  </si>
  <si>
    <t>ESP. Last unit: S-8000N / 42 stages / 180 HP, set at 2,332 ft RT, installed Oct 2014. Produced on ESP through Apr 2021. Current ESP condition unknown, presumed failed</t>
  </si>
  <si>
    <t>Moderate. No casing leak or fish on record. PBTD accessible to 2,648 ft confirmed Dec 2015. Casing swadge at 2,430 ft. CBL dated 24 Feb 1999, satisfactory bond. No post-workover CBL or dual barrier verification post-2015</t>
  </si>
  <si>
    <t>ESP failure, most probable. Well produced 1996 to Apr 2021. ESP installed Oct 2014 exceeded typical run-life by 2021. No official shut-in document in file</t>
  </si>
  <si>
    <t>Production well, directional (deviated). Onshore NWS waterflood producer, Minas Field. Max inclination 28 deg, BUR 8.56 deg/100 ft. Spud 1 Jan 1999</t>
  </si>
  <si>
    <t>Easy, year-round. Onshore Minas Field, Riau. Coordinates: N 88,953.57 m, E 763,902.90 m. Lat 0°48'14.74"N, Long 101°22'16.22"E. No access constraint in any workover report 2006-2015</t>
  </si>
  <si>
    <t>ESP power cable, surface wellhead (11 in x 2,000 psi), doughnut cable head, and flowline in place as of Dec 2015. No current facility capacity data in file. Minas Field has established water handling and injection infrastructure. Current separator and SWD capacity for incremental fluid must be confirmed</t>
  </si>
  <si>
    <t>MINA01258D1 (4C-91 #1258) is a mature onshore waterflood producer in Minas Field that has been idle since May 2021, most likely due to ESP failure, after producing continuously for 25 years from January 1996 through April 2021 with a cumulative oil production of 467,091 BO as of October 2015. The well produces from a multi-zone cased-hole completion (A1 and A2 sands) under active NWS waterflood injection support, but the current commingled water cut exceeds 99.9%, which severely limits near-term oil gain from any currently open zone. The most significant opportunity lies in the A2 sand interval 2,567-2,577 ft, which was re-perforated in December 2015 at a low cost of $32,690, carries confirmed remaining reserves of 1.5 MMBO from the sector reservoir model, and has a CPIR of 2.36 with active surrounding injection, all pointing to residual oil still in place in that lobe. However, no single-zone well test on this specific interval under current conditions has been conducted, the last static reservoir pressure survey is absent from the file set, and no downhole integrity verification has been performed since 2015, meaning the real oil recovery potential from A2 (2,567-2,577 ft) remains unconfirmed and the well should be treated as a Priority 2 candidate requiring a saturation log (RST or C/O neutron), a current pressure survey, and a slickline drift to confirm PBTD access before any workover commitment is made.</t>
  </si>
  <si>
    <t>Minas-01903</t>
  </si>
  <si>
    <t>A1 sd, A2 sd, B1 sd, B2 sd, D sd</t>
  </si>
  <si>
    <t xml:space="preserve">Consistent with aquifer-dominated inflow from day one; WC never dropped below 98% throughout the entire producing life (April 2013 – January 2021). The high WC reflects commingled A1+A2 sand performance, both aquifer-dominated from first perforation </t>
  </si>
  <si>
    <t>Cased hole, directional, single tubing string, dual-zone perforated. 7-in K-55 23 ppf prod csg to 2822 ft. 3.5-in EUE tubing, 78 joints</t>
  </si>
  <si>
    <t>ESP: SN-3600, 34 STG, 80 HP (REDA), PS 2485 ft RT. Operational Jan 2021. Current condition unknown</t>
  </si>
  <si>
    <t>Good. No casing damage, no fish, accessible to 2762 ft (Jul 2018). Dual barrier unverified since 2021</t>
  </si>
  <si>
    <t>Sub-economic: 2.0 BOPD at WC 99.92%. Integrity did not cause shutdown</t>
  </si>
  <si>
    <t>Directional oil producer, development well, Area VI infill WFO-45</t>
  </si>
  <si>
    <t>Easy year-round access, onshore Minas CPI infrastructure</t>
  </si>
  <si>
    <t>Minas Field gathering and processing system, PT CPI. Flow line connected. No facility constraint cited</t>
  </si>
  <si>
    <t>MINA01903 (3B-52) is a directional oil producer in the Minas Field, Riau, that was drilled and completed in early 2013 but never achieved commercial production. The well perforated A1 and A2 sands, yet water cut was already at 98.4% in its very first producing month and climbed to 99.92% by the time it was shut in after January 2021. Peak oil rate across its entire producing life was only 30.3 BOPD in April 2013, and by last production it had collapsed to 2.0 BOPD, indicating the oil productivity index had declined to less than 10% of its original value. Three interventions between 2013 and 2018 confirmed the wellbore is mechanically sound with no casing damage, no fish, and full access to 2762 ft, and the intervention cost would be well below USD 0.50M, so the well is not a mechanical problem. The core issue is reservoir-side: the A1 and A2 sands are aquifer-dominated and essentially spent for current perforations. The only remaining technical upside is the unperforated B1 and B2 sands at 2686 ft and 2738 ft, which were logged and identified at completion but never tested. Before any abandonment decision is made, a wireline RST or PNL run to evaluate residual oil saturation in B1 and B2 is the single most valuable next action. If those zones confirm bypassed oil, the well has a re-perforation case. If not, it should move directly to abandonment screening</t>
  </si>
  <si>
    <t>Minas-01929</t>
  </si>
  <si>
    <t>Bekasap Fm(2)</t>
  </si>
  <si>
    <t>A1 sd, A2 sd</t>
  </si>
  <si>
    <t>&gt;99.9% at idle. Last formal test Dec 2015: 99.84%</t>
  </si>
  <si>
    <t>Directional producer, dual-zone. ARS-1 mechanical packer at 2,576 to 2,580 ft MD. 7-in production casing, 3.5-in EUE tubing</t>
  </si>
  <si>
    <t>ESP: SN-3600, 34 stages, 80 HP at 2,405 ft MD. Current condition unknown, presumed failed around Jun 2018</t>
  </si>
  <si>
    <t>Moderate risk. No severe failure documented. CBL Oct 2019 confirmed casing to 2,545 ft, fluid level at 470 ft. Packer isolation not verified since Jan 2016. CBL interpretation unavailable</t>
  </si>
  <si>
    <t>ESP end-of-run failure around June 2018. No workover performed after well stopped producing</t>
  </si>
  <si>
    <t>Low Priority. Idle well screening score: 31/55</t>
  </si>
  <si>
    <t>Field road confirmed. Rig mobilized to location Oct 2019 for CBL run</t>
  </si>
  <si>
    <t>ESP-based production facility, 3.5-in EUE tubing. Wellhead rated 7-in x 2,000 psi. Water handling infrastructure present, current condition requires confirmation</t>
  </si>
  <si>
    <t xml:space="preserve">Well 4C-74E (MINA01929) is an idle directional ESP producer in Minas Field that stopped producing in May 2018 due to ESP end-of-run failure, not a wellbore integrity issue. The well produced at extremely high water cut throughout its entire life, with the last recorded oil rate of only ~5.3 BOPD at greater than 99.9% water cut, and the A2 sand, its last producing interval, is fully water out with no reactivation value. The A1 sand at 2,538 to 2,541 ft MD is the only viable reactivation candidate, shut in since September 2014 with an estimated oil gain of 20 to 25 BOPD, but significant uncertainty remains because no post-idle reservoir pressure data exists, the October 2019 CBL interpretation report is unavailable, and residual oil saturation has not been confirmed by any saturation log. The well scores 31 out of 55 in the idle well screening matrix, placing it in the Low Priority band, though this score reflects data gaps and high water cut rather than a confirmed depleted or damaged well. Reactivation is technically feasible and intervention cost is low, historically between USD 9,862 and USD 27,835 per workover, but a workover commitment is not justified until four validation steps are completed: a current reservoir pressure survey, CBL interpretation, RST saturation log across A1, and surface facility confirmation.
</t>
  </si>
  <si>
    <t>Minas-01952</t>
  </si>
  <si>
    <t>Bekasap Fm(1)</t>
  </si>
  <si>
    <t>A1 sd</t>
  </si>
  <si>
    <t>99% (swab Dec-2015); allocation ~99.8% (Mar-2017)</t>
  </si>
  <si>
    <t>Single-zone perforation, A1 only. No gravel pack, no screen</t>
  </si>
  <si>
    <t>ESP S-5000N, 57 stages, 120 HP. PS @ 2,153.74 ft. Idle since Dec-2015. Condition unknown</t>
  </si>
  <si>
    <t>No casing failure. Fill @ 2,290 ft blocks PBTD. CBL satisfactory (May-2014). Dual barriers unverified</t>
  </si>
  <si>
    <t>Uneconomic. 99% WC on A1. No surface facilities installed</t>
  </si>
  <si>
    <t>Development well (DOW), J-type directional producer, idle</t>
  </si>
  <si>
    <t>Road access confirmed. Seasonal wet-season limitations (rain delays Dec-2015)</t>
  </si>
  <si>
    <t>11" 2,000 PSI wellhead only. No flowline, no separator, no trunk line connection</t>
  </si>
  <si>
    <t>Well 4C-74E (MINA01929) in Minas Field, Riau, is a directional ESP producer completed in November 2013 with two target sands, A1 (2538–2541 ft MD) and A2 (2596–2605 ft MD). The well went idle by mid-2018, with zero producing days recorded in June and July 2018, most likely due to ESP failure rather than an integrity problem. Throughout its producing life, water cut remained above 99% across all active intervals, with the last well test in December 2015 recording only 6 BOPD from 3,686 BFPD total fluid. The A1 sand has been shut in since September 2014 and represents the only realistic reactivation target, with two independent workover programs estimating 20–25 BOPD gain on packer revision and swab, though these estimates are now over 10 years old. A CBL was run by Schlumberger in October 2019, confirming casing integrity to 2545 ft and a fluid level at 470 ft, but no qualitative cement bond interpretation is available in the file set, leaving isolation status between A1 and A2 unconfirmed. The single most critical missing piece before any workover decision is a current reservoir pressure survey, as no post-idle BHP or gradient data exists in any of the provided files.</t>
  </si>
  <si>
    <t>Oki-00003</t>
  </si>
  <si>
    <t>Oki Field</t>
  </si>
  <si>
    <t>Menggala Fm(7)</t>
  </si>
  <si>
    <t>4750 sd, 5940 sd, 5950 sd, 6000 sd, 6080 sd</t>
  </si>
  <si>
    <t>Vertical/Directional, cased hole, 9.625-in csg; 7-in prod csg; multi-zone; perforations last updated Jan 2011</t>
  </si>
  <si>
    <t>Unclear – Cement Bond Log Feb 1997 available; last perforation Jan 2011; no integrity log post-2011 in provided docs; temperature survey Jul 2010 on file</t>
  </si>
  <si>
    <t>NA – LTC status per file header; no production or shutdown record in provided documents</t>
  </si>
  <si>
    <t>Producer</t>
  </si>
  <si>
    <t>Good – onshore OKI field (Riau, Indonesia)</t>
  </si>
  <si>
    <t>Unclear – OKI field facilities not confirmed in provided docs</t>
  </si>
  <si>
    <t xml:space="preserve">Well OKI-00003 is a multi-zone vertical oil producer in the OKI Field, Riau, Indonesia, with a documented perforation history spanning from 1988 to January 2011 and an intact 7" production casing confirmed accessible to 6,222 ft — yet it has recorded zero production allocation from approximately Q3 2000 onward with no documented reason for shutdown in any available file. Under the 12-parameter idle well screening matrix, the well scores only 17 out of 60 and is ranked Low Priority (Priority 3), but critically, this low ranking is driven entirely by data gaps rather than confirmed technical failure — six of the twelve parameters cannot be scored at all because key data (reservoir pressure, water cut, productivity index, oil gain potential, artificial lift status, and remaining reserves) are wholly absent from the provided document set. The most operationally significant unresolved issue is the January 2011 perforation anomaly: new perforations totaling 17 net feet across three Bekasap intervals were added to a well that had been producing zero allocation for roughly 10 years, yet no production test result, well test, or re-shut-in record from that 2011 campaign appears in any file — a finding that may immediately change the well's screening outcome if the post-perforation result can be retrieved from the operator's records without any new fieldwork. The path to re-ranking this well as Priority 2 (Medium) or higher is a data acquisition problem, not a wellbore problem, and hinges on three critical actions: retrieving the 2011 perforation outcome, conducting a current integrity survey (the existing CBL is 29 years old in a 307°F environment), and obtaining a reservoir pressure measurement — the single most important technical gap for any reactivation decision.
</t>
  </si>
  <si>
    <t>Pager-00006</t>
  </si>
  <si>
    <t>Pager Field</t>
  </si>
  <si>
    <t>Menggala Fm(2)</t>
  </si>
  <si>
    <t>No perforations data  sand detail recorded</t>
  </si>
  <si>
    <t>Vertical, cased hole, 7-in prod csg, 3.5-in tubing, Mod K BP at 3995 ft</t>
  </si>
  <si>
    <t>ESP G529580HP (last installed 1982); no current ESP in hole (tubing only, open-ended)</t>
  </si>
  <si>
    <t>Unclear – CBL Jan 1976 good bond; 2014 WO rec: wellhead needs replacement (Section A &amp; B); stone in hole at surface; no recent integrity log</t>
  </si>
  <si>
    <t>LTC since Oct 2001; wellhead damage; no surface facility; 100% WC at shutdown</t>
  </si>
  <si>
    <t>Producer – Vertical</t>
  </si>
  <si>
    <t>Easy – onshore Pager field</t>
  </si>
  <si>
    <t>NA – 2014 WO rec states many surface facilities no longer exist</t>
  </si>
  <si>
    <t xml:space="preserve">PAGER #06 (N1-O-32) is a long-idle development well in the PAGER Field, Riau, that has produced no oil since September 1991, when it was shut in at an extreme water cut of 98.0% and a last recorded rate of just 40 BOPD. The well scores 22 out of 55 on the 12-parameter screening matrix, placing it firmly in the Low Priority band, with the primary barriers to reactivation being a confirmed but unresolved mechanical obstruction in the wellbore below 3,995 ft that has blocked access to the perforated intervals since 1999, a 50-year-old J-55 production casing with no modern integrity survey on file, no current reservoir pressure or reserves data, and an ESP that was removed in 1998 with no documented reinstallation. Two of the documents filed in the well folder were identified as belonging to entirely unrelated wells in other countries, further reducing confidence in the completeness of the data record. The well is not a formal knockout candidate but should not enter any workover execution queue until three prerequisite steps are completed in sequence: a casing inspection run to verify the condition of the aging steel, a PBTD confirmation attempt via coiled tubing to determine whether the obstruction can be cleared, and a pulsed neutron or saturation log to confirm whether residual oil remains in the two perforated intervals at 3,965–4,018 ft.
</t>
  </si>
  <si>
    <t>Pager-00013</t>
  </si>
  <si>
    <t>Menggal Fm(4)</t>
  </si>
  <si>
    <t>Vertical, cased hole, 7-in prod csg, 3.5-in tubing; Mod K BP at 3982 ft</t>
  </si>
  <si>
    <t>ESP G529580HP (105 jts, open-ended tubing last run 1982); no current pump confirmed</t>
  </si>
  <si>
    <t>Unclear – 1982 squeeze failed (cement behind casing); tubing/packer fish left in hole (Mod EA packer at 3644 ft, backed-off); last CBL 1982 fair bonding; stuck fish unresolved</t>
  </si>
  <si>
    <t>LTC post-1982; stuck fish (Mod EA PKR + tubing at 3644 ft) unresolved; 99% WC; ESP failure after multiple workovers</t>
  </si>
  <si>
    <t>Unclear – Pager field has CPF; 1982 era; current status not confirmed in provided docs</t>
  </si>
  <si>
    <t>PAGAR-13 is a severely depleted, long-idle well in the Pagar Field, Sumatra, with zero allocated production since 1993 and a terminal water cut exceeding 99%. The well has a history of failed remediation attempts between 1979 and 1982, including stuck packers, incomplete fish recovery, inconclusive cement squeeze jobs, and a CBL that confirmed only fair cement bonding. Every isolation attempt to reduce water cut either failed mechanically or resulted in 100% WC within weeks of completion. Current PBTD accessibility is unconfirmed, the last verified clean depth is approximately 3,677 ft against perforations sitting at 3,930 to 3,990 ft, and no downhole survey, pressure measurement, or integrity log has been run in over 40 years. With a total screening score of 23 out of 60 and no credible current subsurface data to support an oil gain case, this well is a Priority 3 candidate and should not receive workover capital until a PBTD drift run, a current CBL, and a pressure survey confirm whether a technically viable path to production still exists</t>
  </si>
  <si>
    <t>PEBO-00002</t>
  </si>
  <si>
    <t>Pematang Bow Field</t>
  </si>
  <si>
    <t>Bekasap Fm(4), Bangko Fm(5), Menggala Fm(6)</t>
  </si>
  <si>
    <t>Bekasap (A sd, B sd, C sd, D sd)
Bangko (D sd, E sd, F sd, G sd)
Menggala (H sd, I sd)</t>
  </si>
  <si>
    <t>6.0 BOPD (Oct 1990: 6 bbl oil over 1 prod day). Last swab test Jun 1991: 4.1 BFPH at 98% WC, net oil effectively &lt; 0.1 BOPD</t>
  </si>
  <si>
    <t>98% (June 1991 swab test). Production history Jul-Oct 1990 shows approximately 80% WC</t>
  </si>
  <si>
    <t>Cased hole, single zone, 7-inch J-55 23 lb production casing cemented to 5,120 ft. Perforated multi-interval (5,108 to 5,114 ft and 5,028 to 5,034 ft original; 5,028 to 5,040 ft and 5,014 to 5,020 ft added 1977). TD 5,125 ft. PBTD 5,080 ft (Model D packer set at 5,080 ft)</t>
  </si>
  <si>
    <t>Rod pump (2-1/4-inch pump barrel) installed at rig release Nov 1969. Pump set at 3,008 ft, tail at 3,055 ft, on 3-1/2-inch J-55 9.3 lb tubing (97 joints). No evidence of any subsequent ESP, SRP replacement, or lift design in provided files. Current lift status unknown after 55 years idle.</t>
  </si>
  <si>
    <t>No modern integrity survey. No CBL re-run after 1969. No casing inspection log in any provided file. Last known wellbore entry was the Jun 1991 swab test to 4,991 ft. Packer status at 5,080 ft unverified. No dual barrier verification documented. Well is approximately 55 years old.</t>
  </si>
  <si>
    <t>Progressive water breakthrough into Bangko Formation perforations. Water cut rose from 13 to 19% at initial production (1969) to 40% post-1977 WO, to 80% by 1990, to 98% by Jun 1991 swab test. Well became sub-economic. No production reported from Jan 1993 to last record Jan 1998.</t>
  </si>
  <si>
    <t>Oil Producer — Vertical well. New well drilled Oct to Nov 1969 by PT. Caltex Pacific Indonesia under Pertamina-CPI Concession Area. Appropriation F-1837.</t>
  </si>
  <si>
    <t>Onshore Riau, Indonesia. Coordinates: N 173,415.78 m, E 364,831.98 m (Pekanbaru coordinate system). Ground elevation 103 ft, RT 116 ft. Established CPI field area — year-round road access assessed as good based on field location. No access restrictions documented in any provided file. Physical site visit required to confirm current road and location condition after extended idle period.</t>
  </si>
  <si>
    <t>No facility data is present in any provided file. Well is in the Pematang Bow field operated by CPI (now Chevron). Surface equipment documented at rig release (Nov 1969) was a Shaffer Gulfco wellhead 10-3/4 x 7 x 3-1/2 inch Series 600 with tubing flange and X-tree. Current condition of wellhead, flowline, and surface gathering is unknown.</t>
  </si>
  <si>
    <t>Pematang Bow No. 2 is a 55-year-old idle vertical oil producer in the Bangko Formation that was drilled by CPI in October 1969 and delivered a strong initial rate of 284 to 289 BOPD at 13 to 19% water cut, but declined rapidly due to water coning, reaching 98% water cut by the June 1991 swab test and recording zero allocated production from 1993 onward. The Bangko and upper Menggala sands at 5,010 to 5,104 ft show a multi-layer oil column on the marked log with residual oil potential in the unperforated upper Bangko intervals (5,014 to 5,040 ft), which were only partially accessed during the 1977 workover, but no RST, PNL, or modern saturation log exists to confirm current oil saturation. The single most critical barrier to reactivation is the complete absence of any modern integrity data on a 7-inch J-55 casing string that has sat idle for nearly three decades, with no casing inspection log, no CBL re-run, no current packer status, and no dual barrier verification in any provided document, making any intervention planning premature without a wellhead inspection and a casing integrity survey as the mandatory first step.</t>
  </si>
  <si>
    <t>PEBO-00003</t>
  </si>
  <si>
    <t>Sihapas Fm(3), Lower Sihapas Fm(6)</t>
  </si>
  <si>
    <t>Sihapas (M/N sd)
Lower Sihapas (R/S sd, T sd)</t>
  </si>
  <si>
    <t>31 BOPD (January 1973, last reliable well-specific rate at shut-in)</t>
  </si>
  <si>
    <t>98-100% at shut-in April 1973; foreign water confirmed at 5,198 ppm NaCl</t>
  </si>
  <si>
    <t>Cased hole, cemented and perforated. 7" J-55 casing, 3-1/2" J-55 tubing, Shaffer Gulfco 600 series wellhead</t>
  </si>
  <si>
    <t>Originally 1-1/4" rod pump at 4,519 ft. All equipment removed July 1973. None present currently</t>
  </si>
  <si>
    <t>Poor. CBL confirmed bonding only at 4,312-4,380 ft and 4,450-4,456 ft. Crossflow confirmed. Dual barrier unverified</t>
  </si>
  <si>
    <t>Behind-casing water crossflow from Upper Sihapas (5,198 ppm NaCl); low productivity (31 BOPD); high WC; low structural position</t>
  </si>
  <si>
    <t>Oil producer, vertical development well. Targeting Lower Sihapas sands</t>
  </si>
  <si>
    <t>Good, year-round access. Duri District, Riau. Mature oilfield infrastructure. Current site condition unconfirmed</t>
  </si>
  <si>
    <t>Not confirmed. Historically connected to Duri District CPI facilities. All equipment removed 1973. Current status unknown</t>
  </si>
  <si>
    <t>Pematang Bow #3 is a vertical oil producer in the Lower Sihapas Formation, Duri District, Riau, that has been idle for approximately 53 years following a confirmed primary cement failure and behind-casing water crossflow from the Upper Sihapas sands. The well produced briefly from June 1972 to April 1973, reaching a peak of around 2,500 BOPD field allocation before declining rapidly to 31 BOPD at 88% water cut within seven months, then collapsing to 98-100% water cut after a routine pump change in February 1973 triggered uncontrolled water entry from an unperforated zone. The root cause is poor primary cement, confirmed by CBL showing bonding in only two short intervals (4,312-4,380 ft and 4,450-4,456 ft) out of a 5,185 ft production string, leaving the productive R/S and M/N sands in an uncemented section throughout the well's entire producing life. All lifting equipment, tubing, and rods were removed in July 1973, no current pressure, integrity, or reserve data exists, and the well sits 37 ft structurally below the up-dip producer PB#1 in a water-invaded field. With two active Knockout flags on Integrity Risk and Artificial Lift, a total screening score of 19 out of 60, and no subsurface data to support a current oil gain forecast, this well is not a reactivation candidate in its present state and should be evaluated for P&amp;A before any capital is committed.</t>
  </si>
  <si>
    <t>PEBO-00018</t>
  </si>
  <si>
    <t>Bangko Fm(5), Menggala Fm(4)</t>
  </si>
  <si>
    <t>Bangko (5010 up sd, 5010 lo sd, 5100 sd)
Menggala (5200 sd, 5300 sd)</t>
  </si>
  <si>
    <t>99.8% (1,440 BWPD)</t>
  </si>
  <si>
    <t>Cased hole, single completion, vertical well. 7-in K55 casing (23 lb/ft), cemented to 5,354 ft. Perforated via wireline 4.5-in HSD gun, 5 SPF, 30 shots</t>
  </si>
  <si>
    <t>No lift equipment record in file. Lift assumed required given depth and water rate. Design basis unknown</t>
  </si>
  <si>
    <t>Unverified. CBL from 1990 only. No post-1990 casing inspection, USIT, or mechanical integrity test. 36-year-old casing with 10 years idle</t>
  </si>
  <si>
    <t>Uneconomic water cut (99.8%). No formal shut-in report in file. Inferred economic abandonment, no documented mechanical failure</t>
  </si>
  <si>
    <t>Priority 3 / Low Priority / Deferred. Screening matrix score 32/60</t>
  </si>
  <si>
    <t>Onshore brownfield, established pad, year-round road access confirmed by rig mobilization in August 2014</t>
  </si>
  <si>
    <t>Surface facility condition post-2016 not confirmed. Flowline tie-in, separator, and SWD capacity require inspection before reactivation</t>
  </si>
  <si>
    <t>PB018 (S4-O-55 #18, Pematang Bow Field) is a long-idle oil producer that became uneconomic due to severe water breakthrough in the Menggala interval, reaching 99.8% water cut and only 2.2 BOPD at its last production in July 2016. The well has been shut in for approximately 10 years with no documented intervention since the August 2014 wireline recompletion. The primary reactivation case does not rest on the current perforated zone, which is waterlogged and effectively exhausted, but on four behind-pipe intervals identified on the original 1990 marked log: Bekasap 4,650 Sand (17 ft possible oil, ØD=25%), Bangko 4,775 Sand (22 ft possible oil), Bangko 4,830 Sand (10 ft possible oil), and the shallower Menggala sands, all of which showed oil on mud log and carried RFT pressures consistent with oil-bearing conditions at time of drilling. A swab test at 5,288-5,310 ft during original logging confirmed 55 BOPD at 90% WC, which was the best flow evidence from this wellbore. The well holds potential as a zone-change recompletion candidate, but that potential cannot be acted on until three things are confirmed: current wellbore accessibility to PBTD, cement integrity behind the 36-year-old 7-in casing, and residual oil saturation in the candidate zones via RST or PNL. Without those data points, any reactivation investment in this well carries high subsurface and integrity uncertainty, and the well should remain in Priority 3 / deferred status pending a low-cost evaluation campaign</t>
  </si>
  <si>
    <t>PEBO-00023</t>
  </si>
  <si>
    <t>Bangko Fm(2), Menggala Fm(4)</t>
  </si>
  <si>
    <t>Bangko (5010 up sd, 5010 lo sd)
Menggala (5200 sd, 5300 sd, 5400 sd, 5500 sd)</t>
  </si>
  <si>
    <t>5.2 BOPD (final 10 days, Sep 2014); representative avg Jan-Aug 2014: 8.2 BOPD</t>
  </si>
  <si>
    <t>99.1% (Sep 2014); representative range Jan-Aug 2014: 98.5-98.9%</t>
  </si>
  <si>
    <t>Vertical producer, cased hole perforated; 7-inch production casing, 3-1/2 inch tubing to ~4,962 ft</t>
  </si>
  <si>
    <t>ESP (Electric Submersible Pump), planned and installed per AFE 95-2505; current downhole condition unknown</t>
  </si>
  <si>
    <t>Moderate concern. No documented casing/tubing/packer failure. CBL file in data set belongs to a different well. No barrier verification or wellbore survey since shutdown. &gt;9 years idle with no current pressure test or drift run</t>
  </si>
  <si>
    <t>Economic. Water cut exceeded 99% and oil rate declined below 10 BOPD. No mechanical failure contributed</t>
  </si>
  <si>
    <t>Idle vertical oil producer, Low Priority (screening score 29/60)</t>
  </si>
  <si>
    <t>Good/Easy. Established onshore Rokan Block, year-round road access confirmed</t>
  </si>
  <si>
    <t>1.3 km flowline, 0.4 km 13.8 kV power line, wellhead hook-up, ESP system, FACT PAC controllers, chemical pump. Facilities were active through 2013-2014. Current operability not confirmed</t>
  </si>
  <si>
    <t xml:space="preserve">Well PB-23 is an idle vertical oil producer in Pematang Bow Field, Riau, that shut down for economic reasons after its perforated Menggala zone (5,006-5,022 ft and 5,390-5,404 ft) reached an uneconomic water cut of 98.5-99.1% with oil production collapsing to below 10 BOPD by mid-2014, down from a peak of approximately 349 BOPD in late 2000. The well has been idle for over 9 years with no documented mechanical integrity failure. The shutdown is purely production-performance driven, not a wellbore failure. The only credible reactivation path lies in the un-perforated Bekasap 4,650 Sand and 4,750 Sand intervals, both of which showed "possible oil" on the 1994 open-hole log with porosities of 14-18% and SFT pressures confirming a hydrocarbon column at the time of drilling, but neither zone has ever been produced or tested under flow conditions. The critical unknown is whether residual oil saturation in these Bekasap intervals is still commercial after 30 years of surrounding field production. No RST, PLT, or current pressure data exists in the file set to confirm this. Until a cased-hole saturation log is run across the Bekasap intervals, this well remains a data-deficient candidate and capital commitment is not justified.
</t>
  </si>
  <si>
    <t>Pemburu-00024</t>
  </si>
  <si>
    <t>Pemburu Field</t>
  </si>
  <si>
    <t>Bangko Fm(1), Menggala Fm(1)</t>
  </si>
  <si>
    <t>Bangko (1940 lo sd)</t>
  </si>
  <si>
    <t>~2.7 BOPD (59.9 BBL over 22 producing days in April 2015)</t>
  </si>
  <si>
    <t>&gt;90-95% (estimated at shutdown, based on production trend)</t>
  </si>
  <si>
    <t>Vertical, cased hole. Dual-zone commingled perforation. Production casing 7 in 23# K-55, tubing 3.5-in EUE (65 joints + 2 pup joints). RBP packer set at 2,050 ft</t>
  </si>
  <si>
    <t>ESP installed at ~1,980-2,050 ft (installed 2012). Current condition unknown, likely requires full replacement after 10+ years idle</t>
  </si>
  <si>
    <t>Good CBL confirmed at completion (September 2012). No mechanical failure on record. Post-2015 wellhead condition unverified. Motor resistance and tubing condition unknown</t>
  </si>
  <si>
    <t>Economic. Water cut driven production decline from 341 BOPD (July 2013) to 2.7 BOPD (April 2015). Likely water coning or aquifer breakthrough, combined with possible ESP degradation from long-term high-WC operation</t>
  </si>
  <si>
    <t>Priority 2 Candidate. Idle Well Reactivation Screening Phase 1. Score: 37/60 (Low-to-Medium priority boundary). No knockout flag</t>
  </si>
  <si>
    <t>Onshore, established field, road access confirmed. Year-round access. Adjacent well Pemburu #23 located ~0.8 km away. Rig BKU-02 previously mobilized to location</t>
  </si>
  <si>
    <t>Not documented in available file set. Water handling capacity, SWD limits, and flowline condition require field verification before reactivation</t>
  </si>
  <si>
    <t>Pemburu #24 is a 2012 vertical development well targeting the 1940sd Lower and Menggala sands in a commingled ESP completion. The well delivered strong early production, peaking at 341 BOPD in mid-2013, but declined sharply to approximately 2.7 BOPD average by April 2015, driven by rapid water cut rise in both zones. At initial completion, the 1940sd Lower zone already showed 99% WC on swab test and the Menggala zone showed 90% WC, meaning the well was wet from day one and never produced on a low-water-cut basis. The well's shutdown reason is not formally documented but the production trend points clearly to economic unviability from high water cut and likely ESP degradation after approximately three years of operation. Well integrity at completion was sound with CBL confirming good cement bonding to PBTD and no mechanical failures on record, which is a positive attribute for reactivation. The primary reactivation barrier today is not integrity but rather the need to confirm whether a commercial oil rate is still achievable at current reservoir conditions, given that both zones produced at very high water cut from the start and no post-2015 pressure, inflow, or saturation data exists in the file set to quantify remaining potential.</t>
  </si>
  <si>
    <t>Pena-00005</t>
  </si>
  <si>
    <t>Penasa Field</t>
  </si>
  <si>
    <t>No perforations data  recorded</t>
  </si>
  <si>
    <t>N/A</t>
  </si>
  <si>
    <t>Directional, cased hole, 7-in K-55 to 3712 ft; max 29° inclination</t>
  </si>
  <si>
    <t>NA — no pump data in documents</t>
  </si>
  <si>
    <t>Good — young well completed 2009; cement job quality confirmed; no integrity issues reported</t>
  </si>
  <si>
    <t>NA — no production or shut-in data in provided documents</t>
  </si>
  <si>
    <t>Producer — Directional</t>
  </si>
  <si>
    <t>Good — onshore Penasa field, Riau</t>
  </si>
  <si>
    <t>Penasa CPF (mentioned in drilling docs)</t>
  </si>
  <si>
    <t xml:space="preserve">The well has a confirmed, clean completion from December 2009, with a 7-in K-55 casing string to 3,712 ft, a documented cement job, and a successfully perforated interval at 3,241 to 3,271 ft in the Penasa Sand, but it carries a critical data gap that prevents any reliable scoring of its production potential. No post-completion production record exists for the D1 directional wellbore, no reservoir pressure measurement has been taken, no water cut or PI data is available, and the artificial lift requirement has never been designed or documented. The production history file in the folder belongs to a different UWI (PENA00005V1, the mother wellbore), and one document in the folder is for an entirely unrelated well in South Sumatera, which further undermines confidence in the data package. The well's physical integrity looks sound for its age, and the onshore Riau location is accessible, but until basic data such as a current wellhead pressure test, a drift check to PBTD, a static BHP survey, and a production test are completed, this well sits firmly in Priority 3, held from execution pending a full data recovery effort.
</t>
  </si>
  <si>
    <t>Petani-00049</t>
  </si>
  <si>
    <t>Petani Field</t>
  </si>
  <si>
    <t>Bangko Fm(3), Pematang Fm(4)</t>
  </si>
  <si>
    <t>Bangko (3900 sd)
Pematang (4200 sd, 4210 sd, 4250 sd, 4940 sd)</t>
  </si>
  <si>
    <t>Cased hole, 7-in K-55, 3.5-in tubing</t>
  </si>
  <si>
    <t>Concern — parted tubing fish at ~3868 ft; CIBP bridge plug at 3992 ft (2003); CBL Sep 2019 overall good with moderate bonding at 1000-1340 ft</t>
  </si>
  <si>
    <t>Fish in hole (parted/stuck tubing cut at 2505 ft, Sep 2019); requires fish recovery before re-entry</t>
  </si>
  <si>
    <t>Producer (pre-fish status)</t>
  </si>
  <si>
    <t>Good — onshore Petani field, Riau</t>
  </si>
  <si>
    <t>Petani CPF (assumed — not confirmed in docs)</t>
  </si>
  <si>
    <r>
      <rPr>
        <sz val="8"/>
        <color rgb="FF000000"/>
        <rFont val="Calibri"/>
      </rPr>
      <t xml:space="preserve">N1-O-72 (PETA00049) is an idle onshore oil producer in the Petani Field, Riau, that stopped producing in May 2011 after a prolonged decline to approximately 39 BOPD with a water cut above 97%. The well has two perforated zones in the Bangko and Pematang formations at 3,958-4,000 ft and 4,308-4,321 ft respectively, but both zones are currently inaccessible because a stuck 3.5" tubing string remains in the 7" casing with the fish top confirmed at 3,124 ft. Three Weatherford wireline runs in September 2019, using a Free Point Tool, Radial Cutting Torch, and two Jet Cutters, sectioned the stuck tubing but failed to recover it from the wellbore. As a result, PBTD at 5,023 ft has not been tagged, dual barrier status cannot be verified, and no reservoir pressure, PI, or individual well test data exist in the available files. The well is a Knockout Risk on two parameters, integrity and workover complexity, and carries a total screening score of 25 out of 60, placing it firmly in Priority 3. No intervention budget should be allocated until a full rig fishing program restores PBTD access, a reservoir pressure survey confirms remaining energy, and a saturation log establishes whether residual oil is present in either perforated zone.d
</t>
    </r>
    <r>
      <rPr>
        <b/>
        <sz val="8"/>
        <color rgb="FFFF0000"/>
        <rFont val="Calibri"/>
      </rPr>
      <t>Based on NZBP opportunity located above obstruction, it is not necessary to do remedial work and just modify the above obstruction completion. Intergity issue and cost become high.</t>
    </r>
  </si>
  <si>
    <t>Petapahan-00024</t>
  </si>
  <si>
    <t>Petapahan Field</t>
  </si>
  <si>
    <t>Pematang sd(1)</t>
  </si>
  <si>
    <t>B sd</t>
  </si>
  <si>
    <r>
      <t>54 BOPD</t>
    </r>
    <r>
      <rPr>
        <sz val="8.5"/>
        <color rgb="FF000000"/>
        <rFont val="Times New Roman"/>
        <family val="1"/>
      </rPr>
      <t xml:space="preserve"> (test date: 4-Jan-2008; 93 BFPD, 54 BOPD, 41.68% WC).</t>
    </r>
  </si>
  <si>
    <r>
      <t>41.68%</t>
    </r>
    <r>
      <rPr>
        <sz val="8.5"/>
        <color rgb="FF000000"/>
        <rFont val="Times New Roman"/>
        <family val="1"/>
      </rPr>
      <t xml:space="preserve"> (4-Jan-2008). Note: A test on 2-Feb-2006 showed 87% WC during a pump failure period at very low rate (40 BFPD) — not representative of stable production.</t>
    </r>
  </si>
  <si>
    <t>Vertical well, cased hole. Surface casing: 10.75-in 40.5 ppf H-40 to 409 ft RT. Production casing: 7-in 23 ppf J-55 to 5,522 ft RT. Tubing: 3.5-in. No packer above perforations. AS-1 packer set at 5,280 ft RT isolating C1-sand; B-sand only open at last production.</t>
  </si>
  <si>
    <t>Rod pump (tubing pump). Last installed: 2.25-in TP × 15, set at 3,530 ft RT (October 2007 workover). Surface unit: Lufkin Conventional C228D-200-74, crank hole 4 of 4, 39.5-in stroke, 13 SPM. Pump pulled and well capped February 2008. Current surface unit condition is unconfirmed after 18 years idle.</t>
  </si>
  <si>
    <r>
      <rPr>
        <sz val="9"/>
        <color rgb="FF000000"/>
        <rFont val="Calibri"/>
      </rPr>
      <t>Compromised — Casing Damage Confirmed at 3,563 ft RT.</t>
    </r>
    <r>
      <rPr>
        <sz val="8.5"/>
        <color rgb="FF000000"/>
        <rFont val="Times New Roman"/>
      </rPr>
      <t xml:space="preserve"> 7-in casing scraper unable to pass on at least six separate attempts (Aug-2003, Aug-2005, Jan-2006, Jul-2006, Oct-2007, Feb-2008). Flat-bottom milling at 3,563 ft made no progress. OE 3.5-in tubing can pass the restriction, but standard 7-in workover tools cannot. Fish in hole: DCD SL parted at safety joint (TOF ~5,258 ft) plus GOS housing at ~3,657 ft RT. CBL October 2018 (Weatherford, logged to 3,546 ft / 3,562 ft driller depth): free-pipe amplitude on 7-in casing is 62 mV, which is the baseline for free-pipe response — detailed zone-by-zone bonding requires full log interpretation. Original CBL at completion (July 1977) indicated good bonding from 4,400 ft to bottom.</t>
    </r>
  </si>
  <si>
    <r>
      <t xml:space="preserve">Casing damage at 3,563 ft RT blocked casing scraper passage, preventing standard well clean-out. Swab test of B-sand (5,200–5,220 ft) returned </t>
    </r>
    <r>
      <rPr>
        <b/>
        <sz val="8.5"/>
        <color rgb="FF000000"/>
        <rFont val="Times New Roman"/>
        <family val="1"/>
      </rPr>
      <t>dry</t>
    </r>
    <r>
      <rPr>
        <sz val="8.5"/>
        <color rgb="FF000000"/>
        <rFont val="Times New Roman"/>
        <family val="1"/>
      </rPr>
      <t>. Congeal crude oil and scale found in tubing. Decision made to set OE tubing at 639 ft and temporarily cap the well on 1 February 2008.</t>
    </r>
  </si>
  <si>
    <t>Oil Producer. Vertical development well. Petapahan Field infill development, Rokan Block (Pertamina–CPI Contract Area). Grid: S2-E1-17 (originally drilled as N2-W2-68).</t>
  </si>
  <si>
    <r>
      <t>Good / Easy.</t>
    </r>
    <r>
      <rPr>
        <sz val="8.5"/>
        <color rgb="FF000000"/>
        <rFont val="Times New Roman"/>
        <family val="1"/>
      </rPr>
      <t xml:space="preserve"> Onshore Petapahan Field. Year-round road access. Surface coordinates: PKB E 348,073.56 m, N 112,210.10 m (Greenwich: 0°38'56.6" N, 100°58'31.0" E). Ground elevation 124.32 ft (37.89 m). No access constraints documented in any workover record. All historical workovers conducted with conventional rigs.</t>
    </r>
  </si>
  <si>
    <t>Lufkin Conventional C228D-200-74 pumping unit at surface (condition unconfirmed after 18 years idle). Wellhead: Gray Type E, 10.75-in × 7-in × 3.5-in, Series 600, 2,000 psi (condition unconfirmed). OE tubing set at 639 ft RT currently in hole. Flowline and gathering tie-in to Petapahan field production network (Bekasap SBU CPF) is available per prior field records, but current flowline and facility readiness require on-site verification.</t>
  </si>
  <si>
    <t>Well PETP00024 is a historically productive Bekasap B-sand oil producer that was shut in on 1 February 2008 after recording a respectable last test rate of 54 BOPD at 41.68% water cut — a notably moderate water cut compared to most idle-well peers in the Rokan portfolio — but reactivation is currently blocked by a confirmed casing collapse/restriction at 3,563 ft RT that has defeated casing scrapers on six separate attempts since 2003, two fish items left in hole (GOS housing at ~3,657 ft and a parted DCD slickline at ~5,258 ft), and a 2018 Cement Bond Log that could only reach 3,562 ft and therefore provides no cement quality data at the actual pay zone (5,200–5,314 ft). Adding to this, the last static bottomhole pressure survey dates back to November 1988 — over 37 years ago — leaving current reservoir deliverability completely unconfirmed. The well scores 60.0 on the idle-well screening matrix but carries an Integrity Knockout flag that places it in the Excluded tier, meaning no workover can be sanctioned until a Phase 0 validation program — covering wellhead inspection, casing damage characterization, fishing feasibility, and a downhole pressure/inflow test — is completed and returns positive results.</t>
  </si>
  <si>
    <t>Petapahan-00049</t>
  </si>
  <si>
    <t>Bekasap Fm(8)</t>
  </si>
  <si>
    <t>B sd, C1 sd, C2 sd, C3 sd</t>
  </si>
  <si>
    <t>3.0 BOPD (48.09 bbls over 16 production days, May 2019)</t>
  </si>
  <si>
    <t>~100% at last allocation month. Last confirmed well test (2 Jun 2015): 99.7% WC at 2,542 BFPD</t>
  </si>
  <si>
    <t>Directional well, single string. 9.625-in surface casing to 1,056 ft; 7-in production casing to 4,644 ft. Multiple perforated intervals across BKA, BKC1, BKC2, BKC3. ARS-1 packer at ~4,413–4,414 ft. QCI doughnut wellhead, 7-in 2,000 psi rated. PBTD 4,597 ft</t>
  </si>
  <si>
    <t>ESP (Electric Submersible Pump). Current installed unit: DN175074, 74 stages, 37.5 HP motor, pump set ~4,000 ft, BOM ~4,012 ft, installed July 2015. Prior units: GN1600-75 stgs-80HP (2012), SN-260060-120HP (IC 2009)</t>
  </si>
  <si>
    <t>No post-2015 integrity log available. Last wellbore access July 2015: casing scraper confirmed PBTD 4,597 ft, tubing pressure-tested 300 psi. No casing failure, tubing leak, or crossflow documented. Cement squeeze performed March 2012 across 4,154–4,490 ft. ARS-1 packer in place. CBL Feb-2009: cement to 91 ft, no defects flagged. Current dual barrier status unverified. ESP condition unknown after ~7 years idle</t>
  </si>
  <si>
    <t>Economic limit reached due to extremely high water cut and uneconomic oil rate. Last oil rate 3.0 BOPD at ~100% WC. No mechanical failure or safety incident documented as primary cause</t>
  </si>
  <si>
    <t>Idle well, directional producer, ESP-lifted, multi-zone Bekasap sand completion. Classified DOW (Development Oil Well) at drilling stage</t>
  </si>
  <si>
    <t>Onshore, Petapahan Field pad PH049, Block 1 Rokan. Year-round road access confirmed. Well is approximately 30 km from previous rig location via public road. CPI infrastructure and gathering system available. Surface coordinates: N 0°36'20.375, E 101°1'23.381</t>
  </si>
  <si>
    <t>CPI Petapahan field gathering and processing system in place. Wellhead is 7-in 2,000 psi QCI doughnut type with flow line connection. Power supply available for ESP operation (SPM confirmed). ESP cable and penetrator QCI system installed. Choke manifold and drip pan on location as of July 2015</t>
  </si>
  <si>
    <t>Based on the full assessment of PETP00049D1 (PH049 S1-E1-15, Petapahan Field), the well is effectively watered out across all currently open and previously tested Bekasap sand intervals, with water cut consistently above 97% since initial completion in 2009 and a last recorded oil rate of only 3.0 BOPD in May 2019 before going fully idle. The only remaining technical case for reactivation rests on the Bekasap B sand (4154-4164 ft), which showed 40% WC and approximately 325 BFPD on a brief swab test in 2010, and is interpreted as probable oil on the IC log, but this has never been confirmed with a post-WSO saturation log such as a PNL or RST. The well sits at the lowest structural position in the Petapahan Block 1 pattern relative to offset wells PH023 and PH046, which is a fundamental disadvantage for sweep efficiency and water influx, and the existing cement squeeze job across C1, C2, and C3 zones (March 2012) limits zone access without a full workover rig. The ESP installed during the July 2015 size-down job has been idle for approximately 7 years with no inspection record, and no post-2015 integrity log, pressure survey, or reserve estimate exists in the available data, leaving the key technical questions unanswered before any reactivation decision can be made.</t>
  </si>
  <si>
    <t>Puncak-00006</t>
  </si>
  <si>
    <t>Puncak Field</t>
  </si>
  <si>
    <t>Duri Fm(2), Menggala Fm(4)</t>
  </si>
  <si>
    <t>Duri (B sd)</t>
  </si>
  <si>
    <t>~2.7 BOPD (5.35 bbl / 2 days, May 1998)</t>
  </si>
  <si>
    <t>~95% (May 1998: 101.65 bbl water / 107.0 bbl total fluid)</t>
  </si>
  <si>
    <t>Cased hole, multi-zone; 9.625" casing at 237 ft</t>
  </si>
  <si>
    <t>Not enough evidence — no workover or completion record in folder</t>
  </si>
  <si>
    <t>Not enough evidence — valid CBL misfiled; last access confirmed 1995 only</t>
  </si>
  <si>
    <t>Not documented. Economic limit inferred from production decline and ~95% water cut.</t>
  </si>
  <si>
    <t>Oil producer, vertical, onshore</t>
  </si>
  <si>
    <t>Provisional — established onshore Sumatran legacy field; infrastructure likely exists</t>
  </si>
  <si>
    <t>Not documented in folder — field-level PHR infrastructure assumed but unconfirmed</t>
  </si>
  <si>
    <t xml:space="preserve">PUNC00006 (Puncak #6) is a long-idle onshore Sumatran well that last produced meaningfully in the mid-1990s and has recorded zero production since late 1997, with its final entry showing approximately 95% water cut. The well penetrates multiple stacked sand intervals across the Duri, Bekasap, Bangko, and Menggala formations, which suggests behind-pipe recompletion potential, but no current pressure data, no workover records, and no integrity verification exist in the provided file package. Three of the five PDF files submitted for this well are misfiled documents belonging to completely unrelated wells in Texas and the Canadian Arctic, meaning the CBL and RFT data that should anchor the integrity and pressure assessment are simply not there. The well scores Low priority at this stage, not because reactivation is technically ruled out, but because 8 of 12 screening parameters cannot be scored from the available data, making any investment decision premature. The immediate priority is a data recovery effort, a current wellhead inspection, and a drift run to establish whether the wellbore is even accessible, before any reactivation scope or cost can be defined.
</t>
  </si>
  <si>
    <t>Puncak-00010</t>
  </si>
  <si>
    <t>Duri Fm(1), Bangko Fm(1)</t>
  </si>
  <si>
    <t>Duri (B sd)
Bangko (2020 sd)</t>
  </si>
  <si>
    <t>~132 BOPD implied daily average (4,092.53 bbls ÷ 31 prod days, August 2005, from allocation history). Indexed signal: 200 BOPD — verify as last representative oil rate</t>
  </si>
  <si>
    <t>90.6% in August 2005. Prior months 1999–2004 predominantly &gt;95% WC. Indexed signal: 64% WC — verify latest representative allocation/test</t>
  </si>
  <si>
    <t>Cased-hole, vertical. 4-string: 24" conductor @ 30 ft; 13.375" H-40 surface @ 146 ft; 10.75" @ 699 ft; 7" J-55 23 lb/ft ST&amp;C production casing to TD 2,240 ft. 68 joints, 650 sacks Class G cement, 100% returns. Indexed: open-hole/cased-hole producer — verify completion schematic. Tubing detail not confirmed</t>
  </si>
  <si>
    <r>
      <t>DATA GAP.</t>
    </r>
    <r>
      <rPr>
        <sz val="8.5"/>
        <color rgb="FF000000"/>
        <rFont val="Times New Roman"/>
        <family val="1"/>
      </rPr>
      <t xml:space="preserve"> No ESP, SRP, or gas lift reference in drilling report, casing summary, or production history. Indexed: ESP indicated in well-file/pump records — current condition to verify</t>
    </r>
  </si>
  <si>
    <r>
      <t xml:space="preserve">Original (1983): Satisfactory — CBL bond 630–1,818 ft; plug bumped at 1,500 psi; float held. Current: </t>
    </r>
    <r>
      <rPr>
        <b/>
        <sz val="8.5"/>
        <color rgb="FF000000"/>
        <rFont val="Times New Roman"/>
        <family val="1"/>
      </rPr>
      <t>DATA GAP</t>
    </r>
    <r>
      <rPr>
        <sz val="8.5"/>
        <color rgb="FF000000"/>
        <rFont val="Times New Roman"/>
        <family val="1"/>
      </rPr>
      <t xml:space="preserve"> — no post-2005 survey found. Indexed evidence: tubing leak, fishing job history, sand fill, CBL/motor low — moderate/uncertain status. 7" J-55 casing ~43 years old</t>
    </r>
  </si>
  <si>
    <r>
      <t>DATA GAP.</t>
    </r>
    <r>
      <rPr>
        <sz val="8.5"/>
        <color rgb="FF000000"/>
        <rFont val="Times New Roman"/>
        <family val="1"/>
      </rPr>
      <t xml:space="preserve"> No explicit shutdown notice or workover closure in reviewed files. Zero production from Sep 2005 with no remark. Indexed reason code: WSO RE (Water Shut-Off / Recompletion)</t>
    </r>
  </si>
  <si>
    <t>Oil Producer, Vertical Development Well. Daily rig report: "Class: Dev-well". Indexed: Oil Producer, Rokan idle-well screening candidate</t>
  </si>
  <si>
    <t>Onshore Riau, Sumatra. LAT 0° 27' 58.8" N / LONG 101° 31' 19.9" E; X 738,351.2 / Y 162,187.3. CPI Rig #14 from Minas base (April 1983). Indexed: Good/Easy onshore Puncak field location — indexed access evidence confirmed</t>
  </si>
  <si>
    <t>Historical: Water volumes up to 39,000+ BWPM (2004–2005) confirm field gathering and water-handling infrastructure existed. Indexed: Puncak surface facility — WHC, Flow Line evidence — current readiness to verify. Current separator, SWD, and flowline condition unconfirmed</t>
  </si>
  <si>
    <t>PUNC00010 is a 43-year-old vertical development well in Puncak Field, Riau, Sumatra, last producing in August 2005 at an implied rate of 132 BOPD with 90.6% water cut, and has been idle for over 20 years with no documented workover, intervention, or surveillance activity since completion in 1983. The production history confirms the well was a strong producer through the late 1980s and early 1990s, but entered a steep decline driven by rising water cut that reached above 95% through most of the 1999 to 2004 period, consistent with a mature, heavily swept reservoir. Original wellbore integrity was satisfactory at completion — CBL confirmed cement bond from 630 to 1,818 ft with 100% returns, and the 7" J-55 casing was set to 2,240 ft with plug bumped at 1,500 psi — but current integrity is completely unverified after four decades in the ground. No artificial lift record, no current reservoir pressure data, no workover history, and no shutdown reason exist in the available files, leaving the well with less than 40% data completeness and a Knockout flag on the artificial lift parameter. This well is not a reactivation candidate at this stage. Before any budget commitment, the operator must conduct a site visit to confirm wellhead and lift status, run a drift to verify PBTD accessibility, execute a casing integrity log, and obtain a current pressure survey — only after those four steps can a technically sound reactivation decision be made. Summary report indicate there is fish / fishing job in this well</t>
  </si>
  <si>
    <t>Puncak-00022</t>
  </si>
  <si>
    <t>Duri Fm(1), Bekasap Fm(3), Bangko Fm(1), Menggala Fm(1)</t>
  </si>
  <si>
    <t>Duri (C sd)
Bekasap (1350 sd, 1480 sd, 1670 sd)
Bangko (1970 sd)
Menggala (2050 sd)</t>
  </si>
  <si>
    <t>200 BOPD (indexed signal, unverified allocation)</t>
  </si>
  <si>
    <t>95% (indexed signal, unverified allocation)</t>
  </si>
  <si>
    <t>Deviated, cased hole, 7-in K-55 production casing, multi-zone perforations, packer system</t>
  </si>
  <si>
    <t>ESP indicated; current model, depth, and condition unconfirmed</t>
  </si>
  <si>
    <t>Moderate to uncertain — casing corrosion, tubing leak, sand fill to PBTD 2,780 ft, fishing history</t>
  </si>
  <si>
    <t>Tubing leak, sand fill, water shutoff in progress, casing corrosion</t>
  </si>
  <si>
    <t>Oil Producer, Deviated, Idle Screening Candidate</t>
  </si>
  <si>
    <t>Good/Easy — established onshore Puncak Field, 105 km from base</t>
  </si>
  <si>
    <t>Wellhead and surface facility present; current operational readiness unconfirmed</t>
  </si>
  <si>
    <t>PUNC00022 (Puncak 22, O-O-53) is a deviated oil producer on the Puncak Field, Rokan Block, with an indexed production signal of 200 BOPD and an active multi-zone Bekasap-Menggala-Bangko-Duri reservoir stack that shows evidence of remaining reservoir communication as recently as April 2019. However, the well carries   with concurrent issues of casing corrosion, a confirmed tubing leak, unresolved sand fill to PBTD at 2,780 ft, and a fishing job history, all of which almost certainly contributed to the well becoming idle. The last confirmed intervention was a spinner survey and injection test in April 2019, and no post-2019 wellbore integrity data, pressure survey, or confirmed ESP condition record was found in the provided files. With a total unweighted score of 34, a Knockout flag, and critical data gaps across reserves, reservoir pressure, and artificial lift status, the well is classified as Priority 3 and must not be sanctioned for workover until a full wellbore integrity verification, PBTD access confirmation, dual barrier check, and validated well test are completed.</t>
  </si>
  <si>
    <t>Puncak-00023</t>
  </si>
  <si>
    <t>Duri Fm(5), Bekasap Fm(1), Bangko Fm(3)</t>
  </si>
  <si>
    <t>Duri (C sd, D sd)
Bekasap (1340 sd)
Bangko (1860 sd,1970 sd, 2020 sd)</t>
  </si>
  <si>
    <t>~1.8 BOPD (Dec 2012, 6 production days)</t>
  </si>
  <si>
    <t>~99% (Dec 2012)</t>
  </si>
  <si>
    <t>Multi-zone perforated, 7-inch casing, 3.5-inch tubing, CIBP at 1,305 ft</t>
  </si>
  <si>
    <t>Rod pump installed (1-3/4 in x 15 ft, set at 1,224 ft). Prior: REDA ESP DN450</t>
  </si>
  <si>
    <t>Moderate. Accessible to PBTD. Recurring sand. No casing or cement failure.</t>
  </si>
  <si>
    <t>Low reservoir pressure / fluid fill (2003); water cut / uneconomic (2013); incomplete surface unit (2023)</t>
  </si>
  <si>
    <t>Idle oil/gas producer. Gas conversion 1998, oil producer mode restored in later workovers.</t>
  </si>
  <si>
    <t>Onshore Riau, 20 km from base, year-round road access</t>
  </si>
  <si>
    <t>FMC C-22 wellhead (1996). Surface pumping unit incomplete. No flowline/separator data in files.</t>
  </si>
  <si>
    <t>N1-O-88 (Puncak 23) is a technically sound candidate for reactivation evaluation, but economic viability is contingent on confirming that at least one perforated interval retains mobile oil at a commercially meaningful rate. The well's core advantage is its extremely low reactivation cost relative to the established infrastructure, shallow completion depth, and mechanically ready downhole configuration. Its core risk is a historically high water cut with no current zone-level data to identify a path to oil production improvement.The recommended approach is a phased validation sequence: confirm the surface unit, verify barriers, acquire a fluid level survey, and run an RST or production log. If those steps confirm residual oil in one or more zones, the well upgrades to Priority 1 and a production restart decision can be made with confidence. If the data shows fully watered zones across the entire completion, the well should be reclassified to Priority 3 and evaluated for permanent abandonment or a different intervention scope such as a deeper zone recompletion.The overall screening score of 39/60 reflects a well with genuine reactivation potential held back by data gaps and a historical water cut problem. Resolving those two issues will determine whether this well belongs in next year's workover program or in the long-term deferred category.</t>
  </si>
  <si>
    <t>Puncak-00031</t>
  </si>
  <si>
    <t>Bekasap Fm(3)</t>
  </si>
  <si>
    <t>1480 sd, 1970 sd</t>
  </si>
  <si>
    <t>5.4 BOPD (monthly allocation 92.5 bbl / 17 prod days, Dec 2016)</t>
  </si>
  <si>
    <t>99.8% (BWPD 2,184.5 vs BOPD 5.4, Dec 2016)</t>
  </si>
  <si>
    <t>Cased hole, single string, 7" casing 20 lb/ft K-55 to TD 2,450 ft. Multi-zone perforated across Bekasap and Menggala. Vertical well.</t>
  </si>
  <si>
    <t>ESP. Last confirmed installation July 2006: P-10/82 stages, 57 HP motor, GSB3DB-HL seal section, set at 1,494 ft. Prior run Apr 2006: FC-450/78 stages, 38 HP. Current ESP condition unknown (no records post-2016).</t>
  </si>
  <si>
    <t>Moderate risk. CBL satisfactory 28-Mar-2006 (CPIP157323). Sand fill above LS packer found Jul 2006 (19 ft, cleaned and packer replaced). No post-2018 CBL or dual-barrier verification. No casing collapse or major cement failure on record.</t>
  </si>
  <si>
    <t>Uneconomic — production declined to 5.4 BOPD at 99.8% WC by December 2016. Well stopped recording production data after Dec 2016. No explicit workover or shut-in order documented in the available file set.</t>
  </si>
  <si>
    <t>Oil Producer, Vertical, ESP-lifted</t>
  </si>
  <si>
    <t>Easy year-round onshore access. Puncak Field, Riau Province. Rig moved without access issues documented (TA#02 from Tilan #19 to Puncak #31 in Jul 2006). Established road network.</t>
  </si>
  <si>
    <t>Puncak Field surface facilities available. Production data routed through Puncak gathering system (UWI PUNC00031V1, field code PUNCAK in allocation system). Separator and water handling confirmed operational during production period 2006–2016.</t>
  </si>
  <si>
    <t>PUNC00031 is a 20-year-old vertical ESP oil producer in the Puncak Field, Rokan Block, with two distinctly different reservoir intervals that tell opposite stories. The Bekasap interval at 1,545–1,551 ft is the only technically viable reactivation target, having tested 40% water cut on a swab in March 2006 and receiving an active re-perforation as recently as May 2018, which signals that the operator recognized residual oil potential in that zone as late as that date. In contrast, the Menggala intervals between 2,018 and 2,136 ft are effectively written off at current conditions, with swab tests returning 95–98% water cut, leaving near-zero oil gain from those zones without a validated water shutoff concept. The well has no knockout condition, but it carries three unresolved gaps that prevent capital commitment: production history is unreadable (cumulative oil and decline rate are unknown), no post-2006 BHP pressure survey exists so reservoir energy is unconfirmed, and there is no dual-barrier verification after the 2018 perforation event. At a total score of 29/60 with three parameters unscored, the well sits at Medium priority — not a quick win, but technically viable for reactivation if a focused validation package (CBL, memory BHP gauge, RST/PNL saturation survey) confirms reservoir pressure above 40% of original and residual oil in the Bekasap zone, at an estimated validation cost of USD 0.10–0.15M before committing the estimated USD 0.90–1.20M workover.</t>
  </si>
  <si>
    <t>Puncak-00032</t>
  </si>
  <si>
    <t>Bekasap Fm(1), Bangko Fm(1), Menggala Fm(2)</t>
  </si>
  <si>
    <t>Bekasap (1480 sd)
Bangko (1940 sd)</t>
  </si>
  <si>
    <t>0.80 BOPD</t>
  </si>
  <si>
    <t>Cased hole, directional, multi-zone commingle, ESP producer. KOP 646.62 ft, max incl 16.2 deg, azimuth 162.20 deg. 7-in K-55/J-55 production casing TD 2,303 ft.</t>
  </si>
  <si>
    <t>ESP. Last confirmed: P-12 set at 1,491 ft (2015 WO). Prior: 400P458-GSB3DB-30HP. Current motor/cable condition: unknown.</t>
  </si>
  <si>
    <t>PBTD at 1,543.5 ft (original 2,240 ft). No CBL post-2008. No dual barrier verified. SILO expired Dec-2008. No confirmed casing failure.</t>
  </si>
  <si>
    <t>Economic limit reached (0.80 BOPD, WC 99.89%). Root cause: Menggala 100% WC from day 1; all substitute zones also watered out. Gradual PBTD loss eliminated remaining workover options.</t>
  </si>
  <si>
    <t>Oil producer, directional development well, idle.</t>
  </si>
  <si>
    <t>Onshore Puncak Field, established pad. N 708,288.24 m, E 736,295.34 m. Lat 01-07-31.847 N, Lon 101-07-10.591 E. GL 24.0 m. Good access with seasonal road preparation required.</t>
  </si>
  <si>
    <t>Balam AMT CPF. Existing flowline and wellhead operational through December 2017. Current tie-in and separator readiness to verify.</t>
  </si>
  <si>
    <t>PUNC00032D1 (Puncak 32, O-O-65) is a directional ESP producer that has never delivered commercial oil. The Menggala primary zone was watered out from first perforation in April 2008, producing 100% WC from day one, which immediately triggered a supplement program to perforate Bangko and Bekasap. Despite three completions over nine years across four intervals, the well never exceeded 14.3 BOPD annual average and produced a cumulative total of only 12,769 barrels (12.8 Mbbl) against an original target of 200-400 BOPD. Water cut was above 97% in every single production year, and the well shut down naturally in January 2018 at 0.80 BOPD and 99.89% WC. The current PBTD is confirmed at only 1,543.5 ft versus the original 2,240 ft, meaning the Bangko zone at 2,056-2,064 ft and the Menggala zone at 2,142-2,175 ft are both buried behind sand fill and completely inaccessible without a full CTU cleanout workover. No CBL has been run since 2008, no current pressure survey exists, and no dual barrier has been verified, leaving the integrity status of the production casing unknown after 17 years of high-salinity water production. The only accessible perforation is the upper Bekasap at 1,282-1,292 ft added in April 2017, but this zone showed no meaningful oil response and produced at the same near-100% WC as all other intervals. There is currently no confirmed productive zone, no current well test data, and no reserve estimate in any file in the folder. The well is Priority 3, Low, and should not receive capital until a CTU cleanout restores lower wellbore access, individual zone tests confirm WC below 95% in at least one interval, and a current pressure survey establishes whether any reservoir energy remains.</t>
  </si>
  <si>
    <t>Puncak-00033</t>
  </si>
  <si>
    <t>Duri (1), Bangko Fm(2), Menggala Fm(1)</t>
  </si>
  <si>
    <t xml:space="preserve">Duri (B sd)
Bangko (1970 sd, 2020 sd)
</t>
  </si>
  <si>
    <t>1.5 BOPD (25.8 BO / 17 prod days)</t>
  </si>
  <si>
    <t>99.7% (est. from Dec 2016 allocation)</t>
  </si>
  <si>
    <t>Cased hole, vertical, multi-zone commingled; 7-in 23 lb/ft K-55 prod csg to 2,340 ft; 9.625-in intermediate to 1,340 ft; 3.5-in EUE tubing at 1,934 ft</t>
  </si>
  <si>
    <t>ESP — last confirmed: RD98065 stg30 HP at 1,891 ft (Oct 2014, failed ~2 days post-POP). Prior runs: P664-GS-GSB3DB-38HP at 1,955 ft (Nov 2009); 400P664 stg38 HP at 1,955 ft (Jul 2013)</t>
  </si>
  <si>
    <t>No casing failure, no cement failure, no fish in hole. CBL confirmed good bonding at IC. PBTD scraped clean to 2,265 ft in Oct 2014. Post-2014 tubing integrity and dual barrier unconfirmed.</t>
  </si>
  <si>
    <t>Economic — oil rate below 10 BOPD at WC above 97%. Immediate trigger: ESP mechanical failure Jul 2013. Second ESP installed Oct 2014 failed within 2 days.</t>
  </si>
  <si>
    <t>Oil Producer — Vertical Development Well</t>
  </si>
  <si>
    <t>Good to moderate. Onshore Puncak Field, Riau. Established CPI infrastructure. Wet season road softening documented. Year-round access achievable with planning.</t>
  </si>
  <si>
    <t>Puncak Field gathering system, PT CPI. Separator and water handling referenced. Well produced to facility until Dec 2016. Current facility capacity not confirmed in documents.</t>
  </si>
  <si>
    <t xml:space="preserve">Based on all documents reviewed for well PC033 / O-O-77, the key finding is this. The well was drilled in 2009 as a development well targeting the Menggala sand in Puncak Field, but it failed to deliver economic oil production from day one because all four perforated intervals — Duri B, BKO 1970, BKO 2020, and Menggala — were aquifer-dominated from initial completion, with only BKO 1970 showing a brief oil response at 60% WC on first swab before deteriorating to 97.4% WC by May 2013 and 100% WC by August 2014. Over seven years of production across three ESP installations, the well accumulated only approximately 13,100 BO at an average daily oil rate that rarely exceeded 15 BOPD, against a persistent water cut of 97–100%, making the idle status an economic outcome rather than an integrity or mechanical failure. The well scores 27 out of 60 in the 12-parameter screening matrix, carries a Knockout flag on Workover Complexity because a full rig is required as the minimum re-entry scope, and is classified as Priority 3 — meaning no workover capital should be allocated until three low-cost data-acquisition steps are completed: a carbon-oxygen log or RST survey on BKO 1970 to confirm whether any movable oil remains, a shut-in pressure measurement to establish current reservoir energy, and an individual zone swab test on BKO 1970 isolated from the two confirmed water-only zones below it.
</t>
  </si>
  <si>
    <t>Pungut-00007</t>
  </si>
  <si>
    <t>Pungut Field</t>
  </si>
  <si>
    <t>Petani Fm(1), Bekasap Fm(1)</t>
  </si>
  <si>
    <t>Petani (B sd)
Bekasap (A sd)</t>
  </si>
  <si>
    <t>Last Test 28 May 2018</t>
  </si>
  <si>
    <t>Cased hole, vertical; 7" 23# J-55 csg to 1,251 ft; 3.5" EUE tubing; Arrow packer @ 1,090.93 ft; PBTD 1,228 ft</t>
  </si>
  <si>
    <t>Unknown post-2013. No pump in 2013 tally. Gas natural flow design.</t>
  </si>
  <si>
    <t>Concern. Casing parted ~1,250 ft (1975, unconfirmed repaired). Packer and tree tested 500 psi OK in 2013. No post-2013 integrity check.</t>
  </si>
  <si>
    <t>Not formally documented. Probable: uneconomic/no oil; injector role ceased mid-2018. Casing restriction prevented deeper re-entry.</t>
  </si>
  <si>
    <t>Oil producer (designated O-O-67); operated as injector/disposal 2013–2018; now idle</t>
  </si>
  <si>
    <t>Good. Onshore, active CPI-operated Pungut Field, Riau</t>
  </si>
  <si>
    <t>Pungut Field CPI facility. Capacity data NA in provided files.</t>
  </si>
  <si>
    <t>PUNG00007 (O-O-67) is a vertical cased-hole well in the Pungut Field, Riau, that was originally a prolific oil producer from the deep Bekasap sands (2,836-2,870 ft) in the 1970s but has been idle since July 2018 with no confirmed oil production in the post-2013 period. The well's reactivation potential is severely constrained by a casing parted condition at approximately 1,246-1,250 ft, documented as far back as April 1975 and never confirmed repaired, which blocks any re-entry to the deeper oil-bearing Bekasap and Telisa intervals. The 2013 workover addressed only the shallow zone (1,080-1,184 ft), perforating a gas interval that produced zero oil on swab test, and the well was subsequently used as a water injector or disposal well until mid-2018 before being fully shut in. Critical data gaps compound the technical risk: no oil or water allocation data exists in the production history file, no current reservoir pressure survey is available, no PI test has been performed, and no RST or PNL log confirms residual oil saturation in any interval. Before this well can be seriously considered for reactivation as an oil producer, the casing integrity at 1,246-1,250 ft must be assessed with a casing inspection log, a current pressure survey and well test must be conducted, and a feasibility study for either a casing patch or a sidetrack to access the deeper productive Bekasap zones must be completed.</t>
  </si>
  <si>
    <t>Pungut-00009</t>
  </si>
  <si>
    <t>B sd, D-1 sd</t>
  </si>
  <si>
    <t>0 BOPD. No oil ever produced. Test 1 (B Sand, 20 May 1973): 504 BFPD 100% water. Test 2 (D Sand, 21 May 1973): 720 BFPD 100% water.</t>
  </si>
  <si>
    <t>100%. Both zones, both tests. No oil fraction at any point.</t>
  </si>
  <si>
    <t>7" J-55 R-3 cemented casing, perforated, open hole plug-back to 3,141 ft. Cup packer assembly installed May 1975 to isolate D Sand from B Sand (later fished out at abandonment). Final state: cemented plug across perforations, no tubing in hole.</t>
  </si>
  <si>
    <t>None installed. None ever designed or planned. Adjacent well reports (Duri field) in the folder reference REDA ESP equipment, suggesting field infrastructure exists in the region, but nothing was installed on Pungut #9.</t>
  </si>
  <si>
    <t>Poor, unverified. Well abandoned 1980 with cement plug and steel plate. 7" J-55 casing is ~53 years old. No casing pressure test, CBL, or corrosion log conducted after 1980. CBL run at initial completion (May 1973) showed top of cement outside 7" casing at 2,750 ft, which is above the perforations. Crossflow between B and D sands was suspected in 1975 before cup packer isolation. Dual barrier at abandonment: cement plug + steel plate. No current barrier verification on record.</t>
  </si>
  <si>
    <t>Dry hole. Both perforated intervals produced 100% formation water. No hydrocarbon recovery at any test. Formally stated in Indonesian government abandonment form (Bentuk IX): "ALASAN DITINGGALKAN: TIDAK ADA MINYAK" (Reason for Abandonment: No Oil).</t>
  </si>
  <si>
    <t>Observation Well. Stated on the initial completion report and all subsequent well service records. Upgraded designation on abandonment form: "JENIS SUMUR: SUMUR MINYAK / PENGEMBANGAN" (Well Type: Oil Well / Development), but this conflicts with the Observation Well classification on the completion report. The completion report classification is trusted as the controlling document.</t>
  </si>
  <si>
    <t>Land-based, Pekanbaru Coordinates N-165,385.54 m, E-380,096.78 m, Ground Elevation 186.57 ft, RT 199.57 ft. Pungut field is an established land field in Riau, Sumatra with historical multi-well drilling programs. Multiple rig moves recorded without access issues. Year-round access assumed based on operational history.</t>
  </si>
  <si>
    <t>None at wellsite. Wellhead was physically recovered at abandonment in January 1980. Current surface marker: steel plate welded on top of 7" casing stub with one 1" valve. No separator, flow line, tank, or production facility connected to this well.</t>
  </si>
  <si>
    <t xml:space="preserve">The well has no production history, no installed artificial lift, no surface facility, and no wellhead. A cement plug covers the perforated interval from 2,888 to 3,141 ft, and only a welded steel plate with a 1" valve remains at the surface.
Pungut #9 is a dry observation well. It never produced oil. The abandonment certificate filed with the Indonesian government (Bentuk IX form, CPIF0016208) explicitly states the reason for abandonment as "TIDAK ADA MINYAK" (no oil). Both perforated intervals in the Sihapas formation tested 100% formation water at initial completion in May 1973 and the well was classified as an observation well from that date. Total score is 21 out of 60, placing it firmly in the Low Priority band.
This well should remain deprioritized unless a new field-wide petrophysical study using modern Pungut field data demonstrates a previously unrecognized hydrocarbon column at or near this location. That study would need to show oil saturation behind pipe from a formation not tested in 1973, or a structural update showing the 1973 perforations were in the water leg and that an oil column exists higher in the section. Without that evidence, any workover investment on this well cannot be technically or economically justified.
The pressure trend above shows 20 static BHP surveys recorded between 1973 and 1979 on the B sand Sihapas zone. Pressure was 818 psig at the final survey in September 1979, close to the measured peak of 1,001 psig in October 1975. The sustained reservoir pressure confirms the aquifer is active, which explains the 100% water production. It does not support an oil recovery case.
</t>
  </si>
  <si>
    <t>Singa-00001</t>
  </si>
  <si>
    <t>Singa field</t>
  </si>
  <si>
    <t>Petani Fm(1), Duri Fm(1)</t>
  </si>
  <si>
    <t>Petani (1120 sd)
Duri (2093 sd)</t>
  </si>
  <si>
    <t>16 BOPD at 98.8% WC on 14 Jul 1978. Range during final 2-month period: 6–31 BOPD</t>
  </si>
  <si>
    <t>98.8% on 14 Jul 1978. Range: 98–99.5% over final 6 producing days</t>
  </si>
  <si>
    <t>7-inch casing cemented perforated; 7-inch 23 lb/ft J-55 csg to 2,298 ft; perfs 2,188–2,193 ft; 65 joints 3.5-inch OD EUE J-55 tubing to 2,064 ft; Gray Type E wellhead 10.75" x 7" x 3.5", 600/2,000 psi</t>
  </si>
  <si>
    <t>D-40P REDA ESP, 91 stages, 30 HP, landed 2,146 ft, installed Oct 1976. Pulled Sep 1978. No pump currently in hole. 3 joints OE tubing at 107.80 ft RT only</t>
  </si>
  <si>
    <t>CBL Jan 1977: TOC at 1,738 ft, no cement across Petani 1,120–1,140 ft. Squeeze cement job Feb 1986 (Dowell SLB, SIR IND-031672) targeting 1,120–1,124 ft. No integrity survey post-1986. No casing caliper, pressure test, or dual barrier verification in file</t>
  </si>
  <si>
    <t>Water cut 98–100%, oil rate below 10 BOPD economic limit. Only 6 ft oil above OWC, no viable oil recompletion. Cumulative: 9,533 BO</t>
  </si>
  <si>
    <t>Oil Producer, Vertical; converted to Observation / Idle status</t>
  </si>
  <si>
    <t>Onshore, Singa Field, Duri area. N-229,294.36 m, E-344,839.25 m. GL 29.78 ft. 3.9 km from Bangko No. 33; 3.05 km from Benar No. 6. Governor of Riau permit obtained Jul 1975</t>
  </si>
  <si>
    <t>Original 6-inch flowline (14,000 ft) and 8-inch production line (20,000 ft) installed 1976. Facilities removed for use elsewhere per Jul 1978 memo. 1986 squeeze records confirm workover rig access. Current surface facility readiness is unconfirmed</t>
  </si>
  <si>
    <t>Singa 1 (SING00001) was drilled in 1976 to test a Duri L-Sand structural closure, but the well encountered a fundamental reservoir problem from the start. The only productive oil sand was 6 ft thick, sitting directly on the oil-water contact at 2188-2193 ft, and water broke through within two months of production onset, climbing from 7% water cut in February 1977 to over 96% by December 1976 and reaching 98-99% for the remainder of its producing life. Despite multiple shut-in and test cycles conducted by the district engineer in mid-1978, including one-week, two-week, and three-week shut-in periods, water cut showed no improvement, and the well produced only 91 barrels of oil over six producing days during those tests, confirming the oil column was effectively swept. Cumulative oil production at the time of shut-in was only 9,533 BO against original field reserves of 3.2 MMBO, and the district engineer formally concluded in July 1978 that no viable oil recompletion existed in this wellbore, with the only secondary target (Petani Gas Sand at 1120-1140 ft) blocked by the absence of cement behind casing confirmed on CBL. A cement squeeze was performed on the Petani interval in February 1986 (Dowell Schlumberger job), but no subsequent production test or evaluation of the gas zone was documented, and the well has remained idle with no pump in hole and no current integrity data for the 40 years since that last workover. In short, Singa 1 is a reservoir problem, not a workover opportunity. The well was drilled on a structurally marginal position with an oil column too thin to survive water influx, and reactivation as an oil producer carries no subsurface justification from the available data.</t>
  </si>
  <si>
    <t>DURI-04043</t>
  </si>
  <si>
    <t>Duri Steam Flood (DSF), Area 4-NW, Duri Field</t>
  </si>
  <si>
    <t>RN1 (1st Rindu Sand, 407-427 ft and 429-440 ft), RN2 (2nd Rindu Sand, 450-454 ft). Deeper zones RN3, RN4, PR1-PR5, KD1, KD10W present but unperforated and sub-economic for slim hole</t>
  </si>
  <si>
    <t>Perforated 11 March 1997: 407-427 ft (21 holes, RN1), 429-440 ft (12 holes, RN1), 450-454 ft (5 holes, RN2), total 38 holes. Mud log identifies Top 1st Rindu at 372 ft (-291 ft SS), OWC at -625 ft SS</t>
  </si>
  <si>
    <t>Not applicable — steam injector</t>
  </si>
  <si>
    <t>Slim hole, 3-1/2" 9.3# EUE injection casing cemented to 510 ft inside 7" 23# surface casing. No tubing, no packer. Single-casing injection completion throughout full documented life</t>
  </si>
  <si>
    <t>None. Not applicable. Steam injection driven by surface steam pressure (WHP 115 psi). No ESP, pump, or gas lift installed in any of the 20+ intervention records</t>
  </si>
  <si>
    <t>Casing bonding concern raised October 2002 (HES Priority 1, wellhead bubbling). Investigated and resolved: casing tested in 4 sections from 400 ft to surface, all held 270-285 psi. No casing leak confirmed since 2002. Well injected continuously to at least March 2010. Wellhead condition as of 2026 unknown (16-year gap)</t>
  </si>
  <si>
    <t>Not documented. No formal shutdown or abandonment notice in provided files. Last recorded state was active injection at 200 BSPD in March 2010. Likely cause is pattern management decision or steam supply constraint, but neither is confirmed</t>
  </si>
  <si>
    <t>SH (Slim Hole), INJ-STEAM. Rindu Vertical Expansion (RVE) project injector, one of 58 slim hole injectors in the Duri Steam Flood program</t>
  </si>
  <si>
    <t>Easy, year-round. Multiple contractors accessed the well between 1997 and 2010 with no logistical difficulty and no seasonal access constraint noted. Current road and pad condition requires a site visit after 16 years without heavy equipment access</t>
  </si>
  <si>
    <t>Steam injection infrastructure in place. At last injection (March 2010), well was connected to Area 4-NW steam distribution system receiving 200 BSPD at WHP 115 psi. Post-2010 condition of injection valves, manifold, and steam meter requires inspection before restart</t>
  </si>
  <si>
    <t xml:space="preserve">Well DURI 4043 / DSF 4N-22B is a slim hole steam injector in the Duri Steam Flood Area 4-NW, perforated in RN1 and RN2 Rindu sands, that has been presumed idle since its last documented operation in March 2010. The well shut down due to recurring sand fill covering the perforation intervals, a problem that was successfully remediated eight times between 2000 and 2007 using CTU cleanout, confirming the fix is straightforward and low-cost. At its last active state, the well was injecting 200 BSPD at WHP 115 psi with BHT 361°F throughout the wellbore, meaning the reservoir was still accepting steam and the injection system was functional. The main limitation is that this well generates no direct oil production. Its value is entirely indirect, through SOR improvement to surrounding producer wells, with the last estimated gain of only 9-17 BOPD per standard CTU cleanout scope. The single most critical unknown is what happened after March 2010. If the well has simply been sitting idle with no structural failure, a CTU cleanout to 505 ft PBTD followed by an injectivity test is all that is needed to restore it, at a cost well under USD 100,000. Before any intervention, a site inspection to verify wellhead condition is essential, given the 16-year gap since last access and the prior HES Priority 1 bubbling event recorded in October 2002.
</t>
  </si>
  <si>
    <t>DURI-04052</t>
  </si>
  <si>
    <t>Duri Steam Flood (DSF), Area 4, Section ARSE-41-C, Riau Province</t>
  </si>
  <si>
    <t>Rindu Formation. Zones present: RN1, RN2, RN3, RN4, Pertama (PR1–5), Kedua (KD1–3). Top Rindu at 261 ft, Top Pertama/Kedua at 465 ft</t>
  </si>
  <si>
    <t>Only RN1 and RN2 are perforated. Perforated intervals: 322–334 ft, 338–354 ft, 356–366 ft, 362–368 ft (add), 369–378 ft. Total gross column: 56 ft. 63 holes total (37 initial + 26 additional). RN3, RN4, PR, and KD zones are not perforated</t>
  </si>
  <si>
    <t>Slim hole steam injector. Single string: 3.5" 9.3#/ft J-55 EUE R2 injection casing, 0–455 ft, cemented full circulation. Surface casing: 7" 23#/ft K-55 LTC R3, 0–246 ft. Casing head hot-tapped from 2.5" to 2.9" ID in May 2000. No tubing</t>
  </si>
  <si>
    <t>Not applicable. Steam injector</t>
  </si>
  <si>
    <t>Clean history. CBL (January 1997) confirmed good bonding 20–438 ft. No casing restriction, leak, fish, or mechanical anomaly detected across 6 CTU cleanouts and 5 slickline checks (1997–2008). Current concern: sand fill at 352 ft as of February 2008, potentially above top perforation (322 ft) in 2026. No post-2008 barrier verification on record</t>
  </si>
  <si>
    <t>Sand fill covering the perforated interval, blocking injection. Not a mechanical or integrity failure. Pattern management or steam supply decision after 2008. Exact shutdown record not present in the provided files</t>
  </si>
  <si>
    <t>Steam injector (Rindu injector, slim hole). Pattern designation: DSF 5N-22B, Area 4</t>
  </si>
  <si>
    <t>Good. Established Duri field road and well pad. Multiple contractors accessed without difficulty from 1997 to 2008 (BJ Services, Dowell, Hallco, Barikin, Schlumberger). No access difficulty on record. Vegetation clearing of the pad may be required after 18 years idle</t>
  </si>
  <si>
    <t>Steam injection line connected to Duri steam distribution system. Confirmed operational at last restart in October 2006 and well was ON in February 2008. Current status of steam line after 18 years idle is unverified and must be confirmed before any workover planning</t>
  </si>
  <si>
    <t xml:space="preserve">DURI 4052 / DSF 5N-22B went idle around 2008 due to progressive sand fill covering the perforated interval, not because of any mechanical or casing failure. The well has a clean 11-year integrity record with no casing anomalies, good cement bonding confirmed by CBL in 1997, and six successful CTU cleanouts completed without incident. The reactivation scope is straightforward and low-cost, estimated at USD 25,000 to 40,000 with no rig required. The main technical concern is declining reservoir pressure, with the last recorded WHP at 80 psi against an original target of 230 psi (35% of original), and the best-supported oil gain estimate of 100 BOPD from the 2003 AMT recommendation needs updating to reflect 2026 SOR and injection conditions. Before any workover decision is made, two things must be confirmed first: whether the steam injection line in Area 4, Section ARSE-41-C is still in service, and what the current sand level is inside the wellbore after 18 years of idle status.
</t>
  </si>
  <si>
    <t>DURI-04055</t>
  </si>
  <si>
    <t>Duri Steam Flood (DSF), Area 4-NW, Riau Province. Operator: PT Caltex Pacific Indonesia / PT Chevron Pacific Indonesia (CPI)</t>
  </si>
  <si>
    <t>RN1 (412–427 ft and 443–459 ft) and RN2 (469–471 ft and 475–477 ft), Rindu sands</t>
  </si>
  <si>
    <t>Perforated zones: RN1 at 412–427 ft (16 SPF) and 443–459 ft (17 SPF); RN2 at 469–471 ft (3 SPF) and 475–477 ft (3 SPF). Re-perforated 450–459 ft, 469–471 ft, and 475–477 ft in June 1998. Total 55 holes. Mud log identifies Top Rindu at ~383 ft; deeper formations (RN3, RN4, PR1–5, KD1) identified on completion diagram but unperforated</t>
  </si>
  <si>
    <t>Slim-hole steam injector. Injection casing: 3-1/2" 9.3 lb/ft J-55 EUE R2, cemented to 552 ft. Surface casing: 7" 23 lb/ft K-55 LTC, cemented to 369 ft. Wellhead casing head enlarged to 2.9" ID via hot-tap (February 1999 and May 2000). PBTD: 542 ft</t>
  </si>
  <si>
    <t>None. Not applicable. No artificial lift equipment installed or referenced in any of the 20+ well records spanning 1997 to 2011</t>
  </si>
  <si>
    <t>COMPROMISED. Unresolved casing restriction at 379 ft. The 3-1/2" casing scrapper failed to pass 379 ft on six documented trials (May 2007, April 2009 x3, September 2010 x3). Restriction blocks any full-bore tool from reaching the perforated interval (412–477 ft). CBL (February 1997) confirmed good bonding to surface. No casing leak or surface failure documented. Sand fill at 422 ft as of November 2011. Integrity below 379 ft is unverified</t>
  </si>
  <si>
    <t>Not documented in available files. Last state: steam injector at WHP 171 psi with sand fill at 422 ft. Most likely cause is pattern management decision or steam supply constraint in Area 4-NW after November 2011. DATA GAP: Well status and shutdown reason from 2012 to 2026 are NA in the provided files</t>
  </si>
  <si>
    <t>Steam Injector (RINDU INJECTOR, Slim Hole). Consistent classification across all records 1997–2011. Injection target at last survey: 1,000 BSPD</t>
  </si>
  <si>
    <t>Good. Duri Steam Flood field with established paved road access. Multiple service contractors accessed the well routinely from 1997 to 2011 (BJ Services, Halliburton, Schlumberger, PT Timas, Hot Hole Instruments, Barikin). No seasonal or terrain access difficulty documented in any record</t>
  </si>
  <si>
    <t>Steam injection manifold connection confirmed functional as recently as November 2011 (WHP 171 psi). All CTU cleanout operations (1999–2010) confirmed immediate injection restart (POI) after each job, confirming the steam supply line was in service throughout. Minor valve and manifold inspection required before 2026 restart. Current steam source availability for Area 4-NW is a data gap and must be verified</t>
  </si>
  <si>
    <t>DURI 4055 / DSF 4N-31B is a slim-hole steam injector that has been idle since November 2011, and it carries the strongest reservoir pressure signature (WHP 171 psi) and the highest estimated indirect oil gain (52 BOPD) of all wells in this screening batch, making it a high-value reactivation candidate on paper. However, the single factor holding it back is an unresolved casing restriction at 379 ft depth, first identified in May 2007 and confirmed across six separate CTU operations through 2010, where the 3-1/2-inch casing scrapper consistently failed to pass, blocking any full-bore tool from reaching the perforated interval at 412–477 ft. Prior operations worked around this by using smaller-diameter CT nozzles, which meant the well kept injecting steam but the casing integrity below 379 ft was never verified. On top of that, sand fill as of November 2011 was already at 422 ft and has likely sealed the entire perforated interval by 2026, and the injection history from 1999 to 2026 is missing from the available files, leaving a significant gap in understanding the current reservoir state. The overall screening priority is Medium, upgrading to High the moment an impression block run characterizes that restriction and confirms a viable repair path.</t>
  </si>
  <si>
    <t>DURI-04060</t>
  </si>
  <si>
    <t>Duri Steam Flood (DSF) Field, Area 4, Pattern 4060, Area 41, Central Sumatra</t>
  </si>
  <si>
    <t>Rindu Sand</t>
  </si>
  <si>
    <t>Perforated intervals in Rindu Sand: 355-364 ft, 384-394 ft, 412-423 ft, 433-438 ft. Total 39 holes, 2-1/8" HMX Dynastar at 1 SPF. Mud log data not extractable from available files.</t>
  </si>
  <si>
    <t>Slim-hole steam injector. 3.5" casing (9.3 ppf, J-55). Perforated completion, 4 intervals, 39 holes total. Completed March 1997.</t>
  </si>
  <si>
    <t>None. Never installed. Slim-hole 3.5" casing limits options to slim-hole ESP or rod pump if conversion to producer is pursued. No design exists.</t>
  </si>
  <si>
    <t>Moderate. No casing damage, tubing leak, fish, or cement failure documented across 11 interventions (1997-2008). Main issue is progressive Rindu sand fill blocking all perforated intervals. Current TOS was at 477 ft as of September 2008. Dual barrier status unverified post-2008. Wellhead last physically maintained in May 2000 (hot-tap enlargement).</t>
  </si>
  <si>
    <t>Sand fill progressively blocked all four perforated intervals (355-438 ft). After September 2008 slickline confirmed sand at 477 ft, no subsequent CTU cleanout was performed. No mechanical failure caused the shutdown.</t>
  </si>
  <si>
    <t>Steam injection well (pure injector). Rindu Sand, DSF Duri, Area 4. Slim-hole (3.5" casing).</t>
  </si>
  <si>
    <t>Good. Onshore, flat terrain, 1.0 km from rig move base. Established road network within DSF Duri mature field. No seasonal access restriction documented. Post-2008 road condition not verified.</t>
  </si>
  <si>
    <t>Steam injection line connected to DSF Duri steam distribution network. Active as of September 2008. No production separator, metering, or oil processing facility exists. Line condition post-2008 not inspected.</t>
  </si>
  <si>
    <t>Well 4N-34B is a slim-hole Rindu sand steam injector that went idle due to progressive sand fill after September 2008. The wellbore is mechanically sound. The cleanout procedure is fully documented from the August 2005 CTU job. For injector reactivation, the technical risk is low and the cost is manageable, provided the Area 4 steam flood pattern remains active.Reactivation as an oil producer is not technically justified with the currently available data. Nine of fifteen screening parameters cannot be scored. The decision to pursue producer conversion must begin with zone evaluation, saturation logging, and artificial lift feasibility work, none of which have been completed for this well.</t>
  </si>
  <si>
    <t>DURI-04064</t>
  </si>
  <si>
    <t>Duri / DSF Area 4N (Grid 4N-48B)</t>
  </si>
  <si>
    <t>Rindu Formation — RN1 and RN2</t>
  </si>
  <si>
    <t>Rindu sand perforated at 346–364 ft, 370–386 ft, 391–396 ft, 398–401 ft, 406–411 ft, 445–458 ft, 460–463 ft. Total 53 holes. TD = 491 ft, PBTD = 481 ft</t>
  </si>
  <si>
    <t>Slim hole injector. 13-3/8" conductor @ 40 ft. 7" K-55 LTC surface casing @ 297 ft. 3.5" J-55 EUE production string @ 491 ft (16 joints, cemented full circulation, single injection string)</t>
  </si>
  <si>
    <t>Moderate risk. CBL run 05-Feb-1997 on 7" casing. Cement return confirmed (5 BBL returns during cementing). Packer test Oct 2002: partial pass (270–285 psi vs 300 psi target). Wellhead replaced Oct 2004. Recurring sand fill managed by CTU: Feb 2006 PBTD 481 ft confirmed; Jun 2009 TOS 452 ft clean. Static gradient survey Jun 2018 confirms wellbore accessible. No modern casing caliper or CBL rerun available post-1997</t>
  </si>
  <si>
    <t>Recurring sand fill in Rindu injection string causing below-target steam injection (target 700–1,500 BCWEPD). Last CTU cleanout Feb 2006 confirmed PBTD 481 ft</t>
  </si>
  <si>
    <t>Steam Injector — Slim Hole (DSF pattern injector, Area 4N)</t>
  </si>
  <si>
    <t>Easy — onshore Duri DSF grid, 1.0 km from base, established road and pad access, year-round operations confirmed across 1997–2018</t>
  </si>
  <si>
    <t>Duri DSF steam injection network. Injection line connected at wellhead. Steam supply available from DSF central steam generation. Wellhead-flowline-manifold confirmed. Valve and line operational readiness to verify before restoration</t>
  </si>
  <si>
    <t>DURI04064 (4N-48B) is a Tier 2 injector restoration candidate in DSF Area 4N with a clear, low-cost reactivation path. Its strongest attributes are easy year-round access, a simple CTU sand cleanout as the primary intervention (no rig required, prior job cost under $1,000), and an active Duri DSF steam injection network already connected at the wellhead. The well's strategic value lies entirely in restoring Rindu injection at target rate (700–1,500 BCWEPD) to support the surrounding DSF producer pattern, not in direct oil production from the well itself. The main technical risk before sanction is the unresolved packer partial pass from 2002 (270–285 psi vs. 300 psi target), combined with the absence of any modern casing integrity survey since the original 1997 CBL, meaning dual barrier compliance cannot be confirmed without a fresh pressure test and wellbore survey. Three actions must happen before execution: CTU tag-and-cleanout to confirm PBTD, a pressure test on tubing, casing, and wellhead, and an injectivity step-rate test to confirm the well can meet the DSF injection target before any capital is committed.</t>
  </si>
  <si>
    <t>DURI-04072</t>
  </si>
  <si>
    <t>Duri Field, DSF Area 4</t>
  </si>
  <si>
    <t>Perforated intervals (23 Aug 2000): 329-339 ft, 339-349 ft, 375-386 ft. All three gun strings fired successfully. No mud log in provided files.</t>
  </si>
  <si>
    <t>Single string. 3.5-inch tubing (9.3 lb/ft, EUE) run to 451 ft. 7-inch surface casing (J-55, EUE, Range 2) at 254 ft. Conductor 24-inch at 30 ft. Wellhead installed (CPO). Perforated completion via Enerjet guns at 329-386 ft.</t>
  </si>
  <si>
    <t>Not documented. Well was completed as a steam injector. No pump, gas lift mandrel, or artificial lift equipment is mentioned in any provided document.</t>
  </si>
  <si>
    <t>Partially documented. Cement job completed with returns in 1997 (144 sacks, 6 bbl return at surface, BOP tested at 700 psi). CBL-VDL run 25 Jul 1997 across 30-439 ft. Remark on CBL log states: "Cement data NA at well site." No post-2000 integrity data.</t>
  </si>
  <si>
    <t>Rindhu Injector (steam injector) at original completion (1997). Current classification (idle producer, idle injector, suspended) is not documented.</t>
  </si>
  <si>
    <t>Onshore Duri Field, Riau Province, Indonesia. Distance from previous location (5N-31B) is 1.0 km. Next planned move after completion was 5N-34B, also 1.0 km distance.</t>
  </si>
  <si>
    <t>DSF (Duri Steam Flood) field facilities assumed in place. No specific facility tie-in diagram, flowline routing, separator allocation, or metering details in provided files.</t>
  </si>
  <si>
    <t>Well 5N-42B is a shallow onshore steam injector in Duri Field, DSF Area 4, Riau Province, completed in January 1997 to a total depth of 451 ft with a simple single-string 3.5-inch tubing completion, cemented with full returns confirmed, and subsequently perforated in August 2000 across three intervals at 329-339 ft, 339-349 ft, and 375-386 ft with all guns firing successfully. The wellbore construction quality appears adequate based on drilling records, but the CBL-VDL cement evaluation is compromised by the absence of cement design data at the time of logging, leaving cement isolation confidence at medium level only. The most critical finding is that the well file is fundamentally incomplete for idle well screening purposes. No production history, no oil rate, no water cut, no reservoir pressure, no well test, no reserve estimate, no shutdown reason, no post-2000 intervention records, and no artificial lift documentation exist in the provided data set. This single well was originally classified as a Rindhu Injector, meaning any reactivation as a producer requires a full conversion assessment covering injection pattern impact, artificial lift design, and zone-level reserve confirmation before a screening score and priority ranking can be assigned with any technical confidence.</t>
  </si>
  <si>
    <t xml:space="preserve">DURI-04080  </t>
  </si>
  <si>
    <t>Duri Field / DSF Area 4, grid 5N-14B [^1]</t>
  </si>
  <si>
    <t>Rindu Formation — RN1 and RN2 injection intervals [^1]</t>
  </si>
  <si>
    <r>
      <t>341–342 ft and 353–357 ft (2001 run, 3.5" casing) — depth conflict with 1997 record noted [</t>
    </r>
    <r>
      <rPr>
        <vertAlign val="superscript"/>
        <sz val="8.5"/>
        <color rgb="FF000000"/>
        <rFont val="Times New Roman"/>
        <family val="1"/>
      </rPr>
      <t>4][</t>
    </r>
    <r>
      <rPr>
        <sz val="8.5"/>
        <color rgb="FF000000"/>
        <rFont val="Times New Roman"/>
        <family val="1"/>
      </rPr>
      <t>5][^6]</t>
    </r>
  </si>
  <si>
    <r>
      <t>Slim-hole, single string steam injection; 7" surface casing to 237 ft; 3.5" injection casing to 445 ft [</t>
    </r>
    <r>
      <rPr>
        <vertAlign val="superscript"/>
        <sz val="8.5"/>
        <color rgb="FF000000"/>
        <rFont val="Times New Roman"/>
        <family val="1"/>
      </rPr>
      <t>1][</t>
    </r>
    <r>
      <rPr>
        <sz val="8.5"/>
        <color rgb="FF000000"/>
        <rFont val="Times New Roman"/>
        <family val="1"/>
      </rPr>
      <t>2]</t>
    </r>
  </si>
  <si>
    <t>Not applicable — injection well [^1]</t>
  </si>
  <si>
    <r>
      <t>Moderate — recurring sand fill; no casing/cement failure documented; CBL identity conflict unresolved; no post-2005 survey [</t>
    </r>
    <r>
      <rPr>
        <vertAlign val="superscript"/>
        <sz val="8.5"/>
        <color rgb="FF000000"/>
        <rFont val="Times New Roman"/>
        <family val="1"/>
      </rPr>
      <t>2][</t>
    </r>
    <r>
      <rPr>
        <sz val="8.5"/>
        <color rgb="FF000000"/>
        <rFont val="Times New Roman"/>
        <family val="1"/>
      </rPr>
      <t>3]</t>
    </r>
  </si>
  <si>
    <t>Recurring sand fill causing below-target or zero steam injection; idle through maintenance deferral [^2]</t>
  </si>
  <si>
    <t>Steam Injector — Slim Hole, DSF grid Area 4 [^1]</t>
  </si>
  <si>
    <t>Easy — established DSF grid infrastructure, all jobs completed same day by rigless units [^2]</t>
  </si>
  <si>
    <r>
      <t>Duri DSF steam injection network; current valve and line readiness requires field verification [</t>
    </r>
    <r>
      <rPr>
        <vertAlign val="superscript"/>
        <sz val="8.5"/>
        <color rgb="FF000000"/>
        <rFont val="Times New Roman"/>
        <family val="1"/>
      </rPr>
      <t>1][</t>
    </r>
    <r>
      <rPr>
        <sz val="8.5"/>
        <color rgb="FF000000"/>
        <rFont val="Times New Roman"/>
        <family val="1"/>
      </rPr>
      <t>2]</t>
    </r>
  </si>
  <si>
    <t xml:space="preserve">DURI04080 (5N-14B) is a slim-hole steam injector in DSF Area 4 that has been idle due to recurring sand fill in the Rindu injection intervals, not a structural wellbore failure. Every documented intervention between 1999 and 2005 was a rigless slickline or CTU sand cleanout, all completed within a single shift, confirming the technical fix is simple and low-cost. The well scores Low priority (27/60 unweighted) under the 12-parameter framework primarily because it produces no oil directly, reservoir pressure and injectivity data are absent, and the last confirmed well status is over 20 years old. A critical data conflict exists in the CBL document, which carries a different well name and operator than 5N-14B, making cement integrity unconfirmed. The perforation records also show a depth scale inconsistency between the 1997 and 2001 runs that needs to be reconciled. The real decision here is not whether the cleanout is feasible — it is — but whether restoring steam injection at this specific injector slot improves oil recovery in the surrounding DSF pattern enough to justify even a low-cost intervention. That answer sits in the DSF sector model, not in these well files. Until that pattern value is confirmed, the well stays deferred.
</t>
  </si>
  <si>
    <t>DURI-04082</t>
  </si>
  <si>
    <t>Duri Steam Flood (DSF), Area 4</t>
  </si>
  <si>
    <t>Rindu, Zone R, Sand RN1</t>
  </si>
  <si>
    <t>Sand RN1: 284–292, 296–324, 326–344 ft</t>
  </si>
  <si>
    <t>Single String Perforated Cased Hole Slim Hole Injector</t>
  </si>
  <si>
    <t>None</t>
  </si>
  <si>
    <t>Moderate — sand obstruction at 312 ft, wellhead unverified post-2006</t>
  </si>
  <si>
    <t>Swab valve failure (Oct-2005) + recurring sand fill blocking injection</t>
  </si>
  <si>
    <t>Steam Injector, Single String, Slim Hole (SS RINJ)</t>
  </si>
  <si>
    <t>Easy year-round, onshore, 1.0 km from service base</t>
  </si>
  <si>
    <t>Steam injection gathering system, Area 4. Post-2008 status not verified.</t>
  </si>
  <si>
    <t xml:space="preserve">Well 5N-48B (#4082) is a shallow steam injector (TD 441 ft) in Duri Field Area 4, drilled in February 1997 and last serviced in April 2008, making it idle for approximately 17 years. The key finding is that the well is blocked by a recurring sand bridge at 312 ft, preventing access to the perforation intervals and PBTD, which is the most probable cause of its idle status. A CTU sand cleanout was successfully performed in July 2006 at a cost of only $44,100 USD, confirming that the required intervention is technically straightforward and low-cost for this well depth. The well holds clear strategic value as a Rindu Zone injector in the Duri steam flood pattern, and its absence likely reduces steam conformance and heat delivery to adjacent producers in Area 4. The single biggest obstacle to a reactivation decision is not the well condition itself, but the 17-year data gap, specifically the absence of any current wellhead inspection, dual barrier verification, reservoir pressure data, and Area 4 pattern surveillance report, all of which must be completed before a final workover commitment is made.
</t>
  </si>
  <si>
    <t>DURI-04084</t>
  </si>
  <si>
    <t>Duri Field, Area 4 / Section D</t>
  </si>
  <si>
    <t>Rindu Sand (Lower Rindu)</t>
  </si>
  <si>
    <t>Perfs: 408–434, 438–442, 447–452, 461–465 ft (Rindu Sand). Mud log NA in provided data set.</t>
  </si>
  <si>
    <t>Single-string cased hole. 3.5" production casing, packer at 350–355 ft, tubing to 356 ft.</t>
  </si>
  <si>
    <t>No failure documented. Recurring sand accumulation. Packer leak-free (1998). Last verified access: Sep 2010. Dual barrier status unverified.</t>
  </si>
  <si>
    <t>Not documented in provided files. Inferred: pattern management decision post-2010, not mechanical failure.</t>
  </si>
  <si>
    <t>Steam Injector (RINJ)</t>
  </si>
  <si>
    <t>Onshore, Duri Field, Riau, Sumatra. Year-round access. Mast truck and CTU rig access confirmed.</t>
  </si>
  <si>
    <t>Steam injection infrastructure operational in 2010. Liquid production facility data NA.</t>
  </si>
  <si>
    <t>Based on all the documents reviewed, Well 4N-51B (#4084) is a shallow steam injector drilled in February 1997 for PT. Caltex Pacific Indonesia in the Duri Field, Area 4 / Section D, targeting the Rindu Sand at 408-465 ft depth. The well was completed as a single-string cased hole injector with 3.5" production casing to 534 ft, perforated across four intervals totaling 43 shots, and confirmed fully functional by a tracer survey in November 1998 showing 100% steam exit through all perforated intervals with no packer leak. The last documented activity was a coiled tubing sand cleanout on 22 September 2010, which successfully cleared sand fill to 506 ft and confirmed wellbore access to near-PBTD, after which the well was returned to injection. The critical finding is that this well has never been documented as a producer in any of the provided files. There is no oil rate, no water cut, no production history, and no PI data anywhere in the data set. This means it cannot be ranked meaningfully as an idle production well candidate without first resolving the fundamental question of whether a producer conversion ever occurred and what the current fluid saturation in the Rindu perforations looks like. The well's mechanical condition is relatively sound for its age, intervention cost history is low (under USD 40,000 for all rigless work), and access is straightforward, so if saturation and pressure data confirm remaining movable oil, this well could be a low-cost reactivation candidate. Without that data, any production-based priority ranking carries very low confidence.</t>
  </si>
  <si>
    <t>DURI-04091</t>
  </si>
  <si>
    <t>Duri Steamflood Field (DSF), Area 4</t>
  </si>
  <si>
    <t>Rindu Sands</t>
  </si>
  <si>
    <t>Rindu Sands: Top at 274 ft; perforations 317–386 ft; TD 450 ft; PBTD 445 ft; sand and shale sequence confirmed on mud log</t>
  </si>
  <si>
    <t>Slim-hole injector: 7-inch surf csg to 259 ft, 3.5-inch prod csg to 450 ft, perforated 317–386 ft, 41 holes</t>
  </si>
  <si>
    <t>None installed</t>
  </si>
  <si>
    <t>Moderate. Good CBL overall with 12-ft poor-bonding zone at 240–252 ft. Recurring sand fill. No casing or tubing failure documented. PBTD accessible.</t>
  </si>
  <si>
    <t>Field management decision — not a mechanical failure</t>
  </si>
  <si>
    <t>Good year-round access, Duri Area 4, established road infrastructure</t>
  </si>
  <si>
    <t>Steam injection line only. No production facility connection.</t>
  </si>
  <si>
    <t>Well DURI 4091 (DSF 5N-25B) is a slim-hole steam injector completed in February 1997 targeting the Rindu Sands in Duri Steamflood Area 4, perforated across five intervals from 317 to 386 ft with 41 perforation holes, and has been idle since June 2009 following its last documented slickline sand-tagging job. The well became idle not due to a mechanical failure but as a consequence of a field management decision to cease injection activity, with the last job confirming the well was functional and placed back on post-injection standby (POI). The primary operational challenge throughout its active life was chronic recurring sand fill between 343 and 374 ft, requiring coiled-tubing or slickline intervention every one to four years from 2000 to 2009, with sand consistently migrating from the Rindu sand perforations into the wellbore. The cement bond log run in March 1997 confirmed generally good bonding from 434 ft to surface, with the exception of a 12-ft zone of poor bonding between 240 and 252 ft, which sits just above the 7-inch surface casing shoe at 259 ft and represents a potential annular communication risk under producer drawdown conditions. Wellbore accessibility to PBTD at 445–448 ft was confirmed across all nine documented interventions, with no casing collapse, tubing failure, fish, or packer issue recorded in any job report, indicating the mechanical wellbore remains in serviceable condition. As an idle well candidate, the critical gap is not integrity but data: the well has no production history, no oil rate, no water cut, no reservoir pressure measurement, no PI, and no remaining reserve estimate, making it unscoreable as a producer reactivation candidate without a full conversion feasibility study and targeted data acquisition program</t>
  </si>
  <si>
    <t>DURI-04133</t>
  </si>
  <si>
    <t>Duri Field, DSF Area-4</t>
  </si>
  <si>
    <t>Rindu Sand (RN1)</t>
  </si>
  <si>
    <t>RN1: 372-434 ft (1997, primary injection interval). Additional perforations at 340-343 ft (Nov 2002) and 434-472 ft (Jan 2004)</t>
  </si>
  <si>
    <t>Slim-hole injector. 7" surface casing to 330 ft, 3.5" injection casing to 522 ft TD, PBTD 512 ft</t>
  </si>
  <si>
    <t>None installed. Well has never been configured as a producer</t>
  </si>
  <si>
    <t>Moderate. Wellbore accessible to PBTD 512 ft as of Feb 2008. Recurring sand fill at 461 ft is the only documented obstruction. No casing leak, tubing failure, or fish reported. Dual barrier status undocumented</t>
  </si>
  <si>
    <t>Declining injection efficiency due to chronic sand fill plugging perforations. Injection rate declined from ~700 to below 200 BSPD by 2000. No formal shutdown order found in provided files</t>
  </si>
  <si>
    <t>Steam injector, slim-hole. Never classified as a producer in any provided document</t>
  </si>
  <si>
    <t>Good. Duri Field onshore, Riau Province. Established field infrastructure with road access. No access constraint documented across all intervention records 1997-2008</t>
  </si>
  <si>
    <t>Steam injection line and wellhead in place. No production gathering line, separator, or metering point documented. Producer facility tie-in assessment NA</t>
  </si>
  <si>
    <t>Well 4N-71B (Drill No. 4133) is a slim-hole steam injector in Duri Field Area-4, completed in August 1997 through the Rindu-1 sand at 372-434 ft with a 3.5" injection casing and excellent reservoir quality (Kh = 2180 md over 80 ft net sand). The well suffered chronic sand-fill problems from 1999 onward, causing injection rate to decline from 700 to below 200 BSPD by 2000, and despite multiple CTU and slickline cleanout jobs through 2006-2008, the last recorded operation in February 2008 confirmed sand fill at 461 ft with PBTD at 512 ft. No activity is documented after February 2008, marking the effective start of idle status, and the well has never operated as a producer, so no production history, well test, pressure data, or PI exists. The primary idle cause is repeated perforation plugging by sand combined with poor steam sweep efficiency, leaving a technically sound but undrained reservoir with no conversion plan in place.</t>
  </si>
  <si>
    <t>DURI-04136</t>
  </si>
  <si>
    <t>Duri Steam Flood (DSF), Area 41 (ARSE-41-F), South Area</t>
  </si>
  <si>
    <t>Rindu Sand (1st Rindu = RN1, 2nd Rindu = RN2, 4th Rindu = RN4)</t>
  </si>
  <si>
    <t>RN1: 397-402 ft (6 SPF), 410-433 ft (24 SPF). RN2: 438-443 ft (6 SPF). RN4: 480-483 ft (4 SPF), 492-497 ft (6 SPF). Total net pay 85 ft. Top 1st Rindu at 358 ft SS.</t>
  </si>
  <si>
    <t>Slim Hole (SH) injector. Single string, 3.5 inch J-55 9.3 lb/ft casing cemented to 534 ft, open perforations, no packer</t>
  </si>
  <si>
    <t>None. Steam injector, no artificial lift required or installed</t>
  </si>
  <si>
    <t>Moderate concern. Recurring sand fill (80-84 ft above PBTD, documented 2000-2008). Swab valve broken in 2002, replaced with new X-mastree. CSG scrapper could not pass M-valve in 2008. No casing or tubing damage documented. CBL cement data was NA at wellsite during 1997 logging run. No dual barrier confirmation on record</t>
  </si>
  <si>
    <t>Sand fill restricting or blocking steam injection to perforated intervals. Well last returned to injection June 2008. No documented job or POI after that date. Inactivity since 2008-2010 likely a steam allocation or field management decision, not a major integrity failure</t>
  </si>
  <si>
    <t>Steam Injector, Slim Hole (SH), single string, Rindu sand, Area 41. Well type code: RINJ / INJ-STEAM</t>
  </si>
  <si>
    <t>Onshore Duri, Riau, Indonesia. Established road and field infrastructure. All historical jobs accessed without constraint noted. Pad and road condition post-2010 unverified</t>
  </si>
  <si>
    <t>Steam distribution line, injection wellhead. Last steam line connection: re-POI June 2008. Steam line condition post-2010 not confirmed in available documents</t>
  </si>
  <si>
    <t xml:space="preserve">Well 3N-88B is a Rindu Sand steam injector (Slim Hole) in DSF Area 41, drilled March 1997 and put on injection January 1998. The well has been idle since at least mid-2008, with the last confirmed re-injection on 28 June 2008 following a CTU sand cleanout job. The primary and recurring cause of idle status is sand fill from the Rindu formation, which has consistently bridged 80 to 84 ft above PBTD (517 ft) and blocked effective steam distribution to the five perforated intervals across RN1, RN2, and RN4. Between 2000 and 2008, the well required seven sand cleanout interventions, all resolved by CTU or slickline at very low cost (under $15,000 per job). Additional integrity concerns include a broken swab valve in 2002 that required X-mastree replacement and a casing scrapper that failed to pass the master valve in both 2007 and 2008 jobs, indicating a recurring mechanical obstruction at the wellhead valve. No CBL cement quality confirmation exists from the original 1997 logging run. The well has no oil production history as a producer, and its value is indirect: a 2007 engineering estimate calculated 34 BOPD incremental gain to offset Area 41 producers through improved steam sweep efficiency if this injector is restored to full injection capacity.
</t>
  </si>
  <si>
    <t xml:space="preserve">DURI-04185 </t>
  </si>
  <si>
    <t>Duri Field, Area 3, DSF Pattern 5P-75D, Barikin S. Line Unit</t>
  </si>
  <si>
    <t>1st Rindu Sand (primary), 2nd Rindu at 356', 3rd Rindu at 382', Pertama at TD 427' (not perforated)</t>
  </si>
  <si>
    <t>Perforated: 1st Rindu sand. Intervals: 300-308' (17 shots), 312-318' (13 shots), 321-323' (5 shots). Total 35 holes at 2 spf, 0-degree phasing, 2-1/8" Enerjet gun. No conventional mud log found, but drilling program notes no mud log was run (slim hole).</t>
  </si>
  <si>
    <t>Slim Hole Injector. Single string, 3-1/2" OD, 9.3 lb/ft, J55 grade casing cemented to 427 ft. No tubing string installed. 7" surface casing to 271 ft. Perforated 1st Rindu sand through 3-1/2" casing.</t>
  </si>
  <si>
    <t>None. Not applicable. This is a steam injector. No artificial lift installed or referenced in any document.</t>
  </si>
  <si>
    <t>Moderate. 21 ft sand fill above PBTD confirmed by slickline Sep 2003 (tagged at 442', original TD 463'). CBL-VDL run Jul 1997 QC Pass but CBL notes state "No cement data available" and "base log NA." Full circulation with cement returns confirmed at drilling. No casing leak, fish, or tubing failure documented. Well is accessible to 442 ft (sand fill blocks access to 463 ft).</t>
  </si>
  <si>
    <t>Not explicitly stated in any document. Inferred as pattern management decision, not mechanical failure. The well's last slickline job in Sep 2003 closed normally with no workover or emergency noted. The well was designated "08 = Suspended Well" in the status code legend.</t>
  </si>
  <si>
    <t>Steam Injector. Designated RINJ (Rindu Injector). Slim Hole configuration. Area 3, 5P pattern.</t>
  </si>
  <si>
    <t>Good. Onshore Duri Field, Area 3. Distance from base confirmed 1.0 km. Well was drilled and serviced multiple times with standard rig and CTU units from the Duri operating base. Established Duri field road network applies.</t>
  </si>
  <si>
    <t>Steam injection surface facilities. Well was hooked up to injection line on 15-Sep-1999 ("JOB COMPLETED THE WELL READY TO POI"). Wellhead installed (wellhead installation report included in file). Part of DSF Area-3 steam injection pattern 5P-75D.</t>
  </si>
  <si>
    <t>Well DURI 4185 (5P-75D) is a slim-hole steam injector completed in September 1999 targeting the 1st Rindu sand in Duri Field Area 3, and its last documented downhole activity was a slickline sand fill check in September 2003, which tagged 21 ft of sand fill above the original PBTD. The well carries a suspended status (code 08) with no explicit shutdown reason recorded, though the absence of any emergency or workover flag in the Sep 2003 tour report strongly suggests the suspension was a pattern management or operational cost decision rather than a mechanical failure. Since this well has never produced oil, the standard idle well parameters of last oil rate, water cut, and last production date are not applicable without a producer conversion program. The primary concern for reactivation is the unverified cement isolation on the CBL, the 21 ft sand fill requiring CTU cleanout, and the unknown condition of the surface injection facility and wellhead after more than 20 years of inactivity.</t>
  </si>
  <si>
    <t>DURI-04188</t>
  </si>
  <si>
    <t>Duri Field, Area 4, DSF Pattern 5P-48B, Rindu Injector.</t>
  </si>
  <si>
    <t>1st Rindu Sand primary. Drilling program lists Top 1st Rindu around 314 ft and Top Pertama around 462 ft; completion recommendation uses Top Rindu = 335 ft.</t>
  </si>
  <si>
    <t>Perforated 1st Rindu: 335-339 ft, 343-344 ft, 348-350 ft. Total 10 holes, 1 spf, 2-1/8 in dyna strip HMX gun, 0-degree phasing, 0.45 in hole. No conventional mud log; drilling program says logging program NONE.</t>
  </si>
  <si>
    <t>Slim Hole Injector. 3-1/2 in OD, 9.3 lb/ft, J55 casing/string cemented to about 452 ft. 7 in casing documented; shoe depth conflict 229 ft in completion recommendation versus 299 ft in drilling report.</t>
  </si>
  <si>
    <t>None. Not applicable for steam injector.</t>
  </si>
  <si>
    <t>Moderate. Sand fill repeatedly documented: tagged 339 ft in Jun 2001, CTU cleaned sand 345-452 ft in Jul 2001, later slickline tags 433, 422, 405, and 443 ft. No casing leak, fish, or tubing failure found.</t>
  </si>
  <si>
    <t>Not explicitly stated. Work reports show shut-in injection service and sand-fill management; best interpretation is injector availability/pattern management plus sand fill.</t>
  </si>
  <si>
    <t>Rindu Injector / Slim Hole Injector.</t>
  </si>
  <si>
    <t>Good. Onshore Duri/DSF; rig, CTU, slickline, and service access are documented.</t>
  </si>
  <si>
    <t>Injector wellhead and injection-line hookup documented; completion report says ready to POI.</t>
  </si>
  <si>
    <t>Well 5P-48B is a shallow Rindu Injector in Duri Steamflood Field, Area 4, completed in April 1997 with perforations at 335 to 350 ft in the 1st Rindu sand. The well never produced oil and has no production history on record. Its entire operational life consists of steam injection attempts interrupted by persistent sand fill accumulation in the tubing. A coiled tubing cleanout in July 2001 successfully restored access to PBTD at 452 ft and the well was briefly placed on injection, but sand returned within months and progressively migrated upward over the following decade. By June 2009, the obstruction had risen to 348 ft, sitting directly at the top perforation, effectively blocking all injection into the Rindu sand. Two more slickline attempts in September 2010 and March 2011 both tagged at 351 ft and could not pass, confirming the well has been mechanically inaccessible to its perforated interval for at least 15 years. The well carries no oil gain, no PI, no water cut, and no reserve data, making it a data-poor candidate with a single but solvable operational problem. Before any reactivation or conversion decision can be made, a coiled tubing cleanout is required to restore wellbore access, followed by an RST or PNL log to confirm whether residual oil saturation still exists in the Rindu sand and whether the well has any value as either a reactivated injector or a converted producer.</t>
  </si>
  <si>
    <t>DURI-04199</t>
  </si>
  <si>
    <t>Duri Field, Area 3, DSF Pattern 5Q-17D, Rindu unit.</t>
  </si>
  <si>
    <t>Rindu Sand. Top 1st Rindu 296 ft, Top Pertama 453 ft; completion Top Rindu 295 ft.</t>
  </si>
  <si>
    <t>Perforated 297-300 ft, 7 holes at 2 spf; 313-328 ft, 31 holes at 2 spf. Total 38 holes. 2-1/8 in dyna strip, 21.6 gr HMX, 0-degree phasing, 0.45 in hole. Logging program NONE; CBL notes base log/cement data unavailable.</t>
  </si>
  <si>
    <t>Slim Hole Injector. 7 in, 20 lb/ft surface casing to about 282 ft; 3-1/2 in, 9.3 lb/ft casing to 443 ft TD. PBTD often shown as 373 ft.</t>
  </si>
  <si>
    <t>None.</t>
  </si>
  <si>
    <t>Moderate to poor. Sand fill/obstruction: 9-Jul-2000 tag 378 ft with 60 ft fill; later tag 274-275 ft/could not go down/well off; 3-May-2002 CTU indication of casing leak around 180 ft. Cleanout/pressure wash recommended.</t>
  </si>
  <si>
    <t>Shut-in injector/well off; source causes include pressure-control/kill-well, sand fill, and possible casing leak.</t>
  </si>
  <si>
    <t>Good. Onshore Duri Field, Area 3, standard DSF service access.</t>
  </si>
  <si>
    <t>Steam injector surface connection and wellhead/injection-line service referenced.</t>
  </si>
  <si>
    <t>Well 5Q-17D is a slim hole steam injector (RINJ) drilled in April 1997 in the Duri Steam Flood (DSF) Field, Area-3, completed in the Rindu sand (perforations at 297–300 ft and 313–328 ft, totaling 38 holes at 2 SPF) and placed on injection in October 1999. The well experienced a well eruption/uncontrolled flow event in November 2002, triggering an extended cooling-down and kill operation that consumed over 21,000 bbls of water over approximately 27 days before the well was successfully shut in by January 2003. Post-shut-in integrity checks and multiple slickline runs conducted in 2005, 2006, and 2007 consistently found significant sand fill blocking the wellbore at 275–378 ft, preventing access to the perforation intervals at 313–328 ft, and the well has remained idle since with no documented injection restart. Additionally, Krypton tracer data from December 2000 had already identified that the Rindu R1 interval (279–300 ft) was over-injecting with poor split, likely causing steam breakthrough to offset well 5Q-25C, indicating pre-existing injection conformance problems in the pattern. In summary, well 5Q-17D is a candidate requiring sand cleanout and wellbore integrity evaluation before any reactivation as a steam injector can be considered, with the primary risks being wellbore sand blockage, historical eruption tendency, and unresolved injection conformance issues in the Rindu reservoir</t>
  </si>
  <si>
    <t>DURI-04206</t>
  </si>
  <si>
    <t>Duri Field, Area 3, DSF Pattern 5Q-11B, Rindu unit.</t>
  </si>
  <si>
    <t>Rindu Sand. Injector/RINJ. Injection distribution intervals around 295-300 ft and 387-397 ft, split about 53/47.</t>
  </si>
  <si>
    <t>Perforated 295-300 ft, 6 holes at 1 spf; 387-397 ft, 11 holes at 1 spf. Total 17 holes. 2-1/8 in dyna strip, 21.6 gr HMX, 0-degree phasing, 0.45 in hole. No conventional mud log; CBL base/cement data unavailable.</t>
  </si>
  <si>
    <t>Slim Hole Injector/single injection. 7 in surface casing to about 252 ft; 3-1/2 in, 9.3 lb/ft J55 to 413 ft. PBTD 406 ft.</t>
  </si>
  <si>
    <t>Moderate. Recurrent sand fill: 394 ft tag with 12 ft fill in 2000, 387 ft tag with 19 ft fill in 2002, 389 ft tag with 17 ft fill in 2005 CT; could not pass to PBTD 406 in some jobs. No confirmed casing leak.</t>
  </si>
  <si>
    <t>Sand fill/check-TOS/off-well and temperature/pressure survey needs.</t>
  </si>
  <si>
    <t>Good. Onshore Duri DSF pattern with rig, CTU, slickline access.</t>
  </si>
  <si>
    <t>Steam injection wellhead and injection line service documented.</t>
  </si>
  <si>
    <t xml:space="preserve">Based on all documents reviewed, Well DURI #4206 (5Q-11B) is a shallow onshore well in Duri Field Area 3, originally drilled as a water injector in April 1997 and later converted to a producer, perforated across two Rindu sandstone intervals at 266-300 ft and 382-397 ft. The well is currently idle with last recorded intervention in November 2009, and recurring sand bridging is the confirmed reason for production restriction, successfully remediated by coiled tubing cleanout in September 2007 but apparently recurred afterward. The wellbore is accessible to PBTD at 406 ft with no reported casing or tubing integrity failure, making the expected reactivation scope straightforward at low cost, estimated well below USD 500K based on historical CTU and slickline job costs of USD 156 to USD 9,505. The critical weakness of this well file is the complete absence of production data: no oil rate, no water cut, no well test, no reservoir pressure measurement, and no PI data exist in any provided document, which prevents a confident reserve or gain estimate and limits the overall screening score to provisional. Before any workover commitment, three actions are non-negotiable: execute the temperature and pressure survey already recommended by the HEAT Team, review the DFFM text files in this Space for production history, and conduct a site visit to verify wellhead condition and facility tie-in status.
</t>
  </si>
  <si>
    <t>DURI-04212</t>
  </si>
  <si>
    <t>Duri Field, Area 3, DSF Pattern 4Q-25C, Rindu unit.</t>
  </si>
  <si>
    <t>Rindu Sand. Injector/RINJ. Markers include Top 1st Rindu -181 ft subsea, Top Pertama -336 ft subsea, TD 414 ft.</t>
  </si>
  <si>
    <t>Perforated 285-293 ft, 9 holes at 1 spf; 297-298 ft, 2 holes; 304-305 ft, 2 holes; 365-366 ft, 2 holes; 383-397 ft, 9 holes. Total 24 holes. 2-1/8 in dyna strip, 21.6 gr HMX, 0-degree phasing, 0.45 in hole. Later file names suggest 254-258 ft perforation on 19-Oct-2012, but OCR is not readable enough to replace the clean initial-perf record.</t>
  </si>
  <si>
    <t>Slim Hole Injector. 7 in, 23 lb/ft surface casing to 252 ft; 3-1/2 in, 9.3 lb/ft to 414 ft; PBTD 405-407 ft.</t>
  </si>
  <si>
    <t>None installed, none designed. Well is a steam injector. If converted to producer, the 3.5-inch casing geometry severely limits lift options. Only a small-bore rod pump is physically feasible in this wellbore. ESP and PCP are not viable in 3.5-inch slim hole.</t>
  </si>
  <si>
    <t>Poor to moderate. CTU/impression block in 2003 tagged 302 ft; cutting gun/IB damage and suspected casing collapse noted. 2005 slickline tag 293 ft with 112 ft fill. CTU could not clean below 302 ft; 2007 tag 293 ft suspected collapse; 2008 tag 396 ft.</t>
  </si>
  <si>
    <t>Sand fill and suspected casing collapse/restriction.</t>
  </si>
  <si>
    <t>Good. Onshore Duri Area 3 service access documented.</t>
  </si>
  <si>
    <t>Steam injection surface facilities and wellhead service documented.</t>
  </si>
  <si>
    <t xml:space="preserve">DURI 4212 (4Q-25C) is a slim hole steam injector in the Duri Field Area 3, completed in Rindu sand across four sub-intervals from 278 to 391 ft, and it has never produced oil at any point in its life. The well's core problem is a suspected casing collapse at 302 ft, first observed in September 2003 and consistently confirmed through November 2009, which blocks access to approximately 103 ft of wellbore and renders the lower three Rindu perforation intervals (302-305, 365-366, and 374-391 ft) effectively inactive. This progressive mechanical failure, combined with sand fill above 302 ft, drove the actual injection rate down from a target of 580 BCWEPD to as low as 26 BCWEPD, and the well has been idle with no documented activity since at least late 2009 to early 2012. No casing evaluation log has ever been run to confirm the collapse depth and severity, no dual barriers are documented, and the current wellhead and steam line condition after more than a decade of idleness are unknown, making this a medium-priority injector reactivation candidate with a clear first action: run a casing evaluation log (CBT or USIT) over the 280 to 420 ft interval before committing to any intervention scope.
</t>
  </si>
  <si>
    <t>DURI-04226</t>
  </si>
  <si>
    <t>Rindu Formation. Shallow sand reservoir. Rindu interval encountered from 302 to 429 ft SS (subsurface)</t>
  </si>
  <si>
    <t>No perforation record in provided files. The well was drilled as Rindu Injector (RINJ), meaning the Rindu interval (302 to 429 ft SS) was the target zone. Mud log: NA in provided files. Tubing string set to 429 ft confirms Rindu as the active zone</t>
  </si>
  <si>
    <t>Single string completion. 3-1/2 inch J55 tubing set to 429 ft. CPO (Christmas tree) wellhead. Shallow vertical well, TD 424 ft. No dual-string or multilateral configuration indicated</t>
  </si>
  <si>
    <t>Not installed or not confirmed. Tubing pump section in all three WSWO forms is blank (neither POOH nor RIH recorded). No pump type, size, or design exists in any provided document</t>
  </si>
  <si>
    <t>Sand-filled wellbore. Sand fill consistently tagged at 411 to 415 ft across three slickline runs (Sep 2008, Mar 2009, Nov 2009), blocking access to PBTD (424 ft). No tubing leak, casing leak, or fish reported. CBL run in Jul 1997: cement data was NA at well site, so bond quality is unverified. Dual barrier status unknown</t>
  </si>
  <si>
    <t>Sand fill obstruction in the Rindu interval (309 to 415 ft). This is the documented operational condition. No formal well suspension or abandonment report is in the provided files. The well's RINJ status at drilling also suggests it may never have been placed on production</t>
  </si>
  <si>
    <t>Originally drilled as Rindu Injector (RINJ) in 1997. WSWO work orders charged under "PRO" category (producer), suggesting the well was reclassified or evaluated as a producer candidate. No formal reclassification certificate in provided files</t>
  </si>
  <si>
    <t xml:space="preserve">the well was drilled in 1997 as a shallow Rindu Injector (RINJ) at a total depth of only 424 ft, targeting the Rindu steam flood reservoir in Pattern Area 31, but it appears to have never been placed on sustained production given the absence of any production rate, water cut, or well test record in the entire well file. Three consecutive slickline surveys between September 2008 and November 2009 all confirmed persistent sand fill between 309 and 415 ft, blocking the Rindu interval and effectively rendering the well idle due to a mechanical obstruction rather than a reservoir or integrity failure. The well has no documented tubing leak, casing leak, fish, or packer issue, which means the intervention pathway is technically straightforward, limited to a coiled tubing sand washout on a very shallow, single-string completion. However, the cement bond quality from the 1997 CBL run was never confirmed because cement data was unavailable at the well site at logging time, dual barrier status is unverified, no artificial lift design exists, and no facility tie-in data is documented, making the current data set insufficient to support an investment decision without first pulling the full production history, running a static pressure survey, and acquiring a current saturation log (RST or C/O) to confirm moveable oil remains in the Rindu interval.
</t>
  </si>
  <si>
    <t>DURI-04233</t>
  </si>
  <si>
    <t>Duri Field, Area 3, DSF Pattern 4Q-37C, Rindu unit.</t>
  </si>
  <si>
    <t>Rindu Sand only. Area-3 Rindu injector; Top 1st Rindu -173 ft subsea, Top Pertama/Kedua -334 ft, TD about 412 ft.</t>
  </si>
  <si>
    <t>Perforated 274-287 ft, 27 holes at 2 spf; 352-357 ft, 11 holes; 361-381 ft, 41 holes. Total 79 holes. Initial 2-1/8 in Enerjet/dyna; 2003 recommendation re-perf 274-287 and 352-381 with 2-1/8 in Dyna Strip, 0-degree phasing. Logging NONE.</t>
  </si>
  <si>
    <t>Slim Hole / Single String Injector. 7 in, 20 lb/ft surface casing to about 246 ft; 3-1/2 in, 9.3 lb/ft to 412 ft; PBTD 408 ft.</t>
  </si>
  <si>
    <t>Moderate. Sand fill/restriction: CTU tag 395 and drilled cement to PBTD 408 in May 2000; TOS 392 in Apr 2003; 2005 cleaned 371-408; 2007 tag 393; 2008 tag 396. FM-seal leak repaired May 2002 with pressure held 250 psi. No confirmed casing leak/fish.</t>
  </si>
  <si>
    <t>Sand fill/near-wellbore restriction reducing injectivity.</t>
  </si>
  <si>
    <t>Good. Onshore Duri Area 3 access, repeated CTU/slickline/mast-truck service.</t>
  </si>
  <si>
    <t>Steam injection surface facilities and wellhead/injection-line hookup documented.</t>
  </si>
  <si>
    <t xml:space="preserve">DURI 04233 (4Q-37C) is a shallow slim-hole steam injector completed in May 1997 targeting the Rindu sand at 274–381 ft in Duri Field Area 3, Riau, operated by PT. Caltex Pacific Indonesia. The well was never documented as a producer, and its injection performance deteriorated significantly by 2003, with rate compliance dropping to only 46% of target (257 vs 556 BCWEPD) at a decline rate of 76%/year, driven by near-wellbore restriction with a PVSI of 0.08. A re-perforation using CTU was recommended in April 2003 with an estimated gain of 20 BOPD and an estimated cost of USD 10,100, but no follow-up execution record exists in the file. Subsequent interventions from 2008 to 2013 were all diagnostic only — slickline tags and a spinner survey — confirming PBTD accessibility at 395–399 ft and WHP at 135 PSI, with no production or injection activity recorded. The well has no artificial lift, no production tubing, and its 1997 CBL was run without cement data available at the well site, leaving cement quality unconfirmed. The last documented well activity was February 2013, after which the well appears to have remained idle with no formal shutdown declaration in the file. In short, this well is a low-data, low-confidence candidate that requires a full subsurface and integrity review — including a well test, current CBL, reservoir pressure survey, and facility assessment — before any reactivation or conversion-to-producer decision can be justified.
</t>
  </si>
  <si>
    <t>DURI-04252</t>
  </si>
  <si>
    <t>Duri Field, Area 3, DSF Pattern 4Q-62B, Rindu unit.</t>
  </si>
  <si>
    <t>Rindu Sand only. Injector/RINJ. Top 1st Rindu 279 ft, Top Pertama 428 ft, TD 418 ft.</t>
  </si>
  <si>
    <t>As-built records list 292-295, 295-307, 309-315, 340-357, and 374-377 ft. Jul 1999 wellwork summary says 2-1/8 in gun, 2 spf, 292-377 ft, total 82 holes, with some intervals skipped due CCL. Initial recommendation only listed 306-315/348-357/374-377 ft, 24 holes at 1 spf; as-built record is preferred. No conventional mud log.</t>
  </si>
  <si>
    <t>Slim Hole / Single String Injector. 7 in, 23 lb/ft casing to about 264 ft; 3-1/2 in, 9.3 lb/ft to 418 ft. PBTD 417 ft early, later 387 ft after plugback/survey.</t>
  </si>
  <si>
    <t>Moderate. CBL tagged 382 ft with good bonding; full circulation/cement returns. Recurrent fill/restriction: sinker bar 409 ft Jul 1999; Mar 2000 Krypton indicated lower perf not taking steam due sand fill; Aug 2000 TOS 386 cleaned to PBTD; Apr 2007 tag 310 ft with 107 ft fill; later tags 378-379 versus PBTD 387. No confirmed leak/fish.</t>
  </si>
  <si>
    <t>Sand fill/plugged lower perfs reducing steam distribution/injectivity.</t>
  </si>
  <si>
    <t>Good. Onshore Duri Area 3 access with repeated service operations.</t>
  </si>
  <si>
    <t>Steam injection wellhead and injection-line facility documented.</t>
  </si>
  <si>
    <t>DURI 4252 (4Q-62B) is a slim-hole steam injector in the Rindu sand, Duri Field Area 3, drilled in May 1997 and last confirmed on injection in May 2011 at 849 BSPD, with no oil production history in any available document. The well has a simple, low-cost completion (no tubing, no packer, open 3.5-inch casing) and has historically required only periodic CTU sand cleanouts costing under USD 15,000 per job to maintain injectivity, which makes reactivation as a steam injector technically straightforward and low cost. However, the June 2019 SBHP survey revealed a possible obstruction between 300 ft and 387 ft (tool tagged at 300.7 ft vs. PBTD at 387 ft), consistent with recurring sand fill behaviour documented throughout the well's operational history, and reservoir pressure at that time was near-atmospheric at 37.6 psia, indicating significant pressure bleed-down after years off injection. The CBL cement quality from 1997 was never formally confirmed due to missing cement data at wellsite, and no dual-barrier verification record exists, leaving integrity confidence at a moderate level. The shutdown reason is not documented in any provided file, which is the most critical gap for prioritization. In summary, this well is a viable candidate for low-cost reactivation as a steam injector, but it is not an oil producer candidate without a major feasibility study, and three actions must happen before any scope is committed: a slickline sinker bar run to confirm current wellbore access, a site and wellhead inspection, and confirmation from the field operations team on why the well was shut down.</t>
  </si>
  <si>
    <t>DURI-04256</t>
  </si>
  <si>
    <t>Duri Field, Area 3, DSF Pattern 4Q-51B, Rindu unit.</t>
  </si>
  <si>
    <t>Rindu Sand only. Injector/RINJ. Top 1st Rindu -187 ft subsea, completion Top Rindu 288 ft, Top Pertama -336 ft, TD about 418 ft.</t>
  </si>
  <si>
    <t>Original/revised perforations: 288-308 ft, 21 holes at 1 spf; 343-358 ft, 16 holes; 378-381 ft, 4 holes. Initial tool 2-1/8 in dyna strip, 21.6 HMX, 0-degree phasing, 0.45 in hole. Sep 2011 re/add perforation: 298-308, 338-348, 348-358 ft at 2 spf, 2.125 in Millennium HMX, 90-degree strip gun; all open/flowing. No conventional mud log.</t>
  </si>
  <si>
    <t>Slim Hole / Single Slim Hole Rindu Injector. 7 in to 264/265 ft; 3-1/2 in to 418 ft in drilling/completion. Later HMT references 441 ft casing/TD443 and proposed plugback/new PBTD 320; May 2012 PBTD 392.</t>
  </si>
  <si>
    <t>Moderate. Full circulation/cement returns; CBL/VDL July 1997. Late-2010 sanding; 2011 cleanout/reperf; May 2012 tag 357/358 versus PBTD 392. No confirmed leak/fish/collapse; plugback program required dummy run to check no collapse.</t>
  </si>
  <si>
    <t>Injectivity limitation from unoptimized 1-spf perforations plus sand/access restriction; COS/reperf/proposed plugback.</t>
  </si>
  <si>
    <t>Good. Onshore Duri Area 3 access with rigless and slickline operations.</t>
  </si>
  <si>
    <t>Steam injection surface facilities and wellhead/injection line documented.</t>
  </si>
  <si>
    <t xml:space="preserve">Well 4Q-51B D4256 is a single slim-hole steam injector in Duri Field DSF Area 3, targeting the Rindu sand at 288-381 ft depth, and its core problem is steam injection maldistribution, not mechanical failure or reservoir depletion. The 2012 spinner survey confirmed that 87.89% of the injected steam was going into R2 sand (343-358 ft) while R1 sand (288-308 ft), the intended primary target, was only receiving 12.11%, and R3 (378-381 ft) was receiving nothing at all, which left the R1 sand cold and immature with surrounding producers showing low wellhead temperatures and poor performance. A plug-back workover program was approved in April 2014 to seal off R2 by dumping cement at 330 ft using slickline, redirecting all injection to R1, at a very low estimated cost of USD 8,400, but there is no completion record in any of the provided files confirming this job was ever executed. The well itself is in good mechanical condition with no casing failure, no fish, no tubing leak, and wellbore access to PBTD 392 ft confirmed through multiple slickline and CTU jobs between 2005 and 2012, making the technical barrier to reactivation low. The main unknowns going into 2026 are whether the 2014 plug-back was executed, what the current steam supply and surface facility condition looks like after more than 12 years without a documented operation, and what the current R1 sand response would be if injection were fully redirected as planned, all of which can be resolved with a site inspection, a slickline dummy run, and retrieval of the field intervention completion records.
</t>
  </si>
  <si>
    <t>DURI-04258</t>
  </si>
  <si>
    <t>Duri Field, Area 3, DSF Pattern 3Q-68B, Rindu unit.</t>
  </si>
  <si>
    <t>Rindu Sand only. Injector/RINJ. Top 1st Rindu -201 ft subsea, Top Pertama -363 ft, planned TD 443 ft.</t>
  </si>
  <si>
    <t>Perforated 310-330 ft, 41 holes at 2 spf; 354-368 ft, 29 holes; 372-377 ft, 11 holes. Total 81 holes. 2-1/8 in dyna strip, 21.6 HMX, 0-degree phasing, 0.45 in hole. 2011 spinner steam exit: 49.61% at 310-330, 48.82% at 354-368, 1.57% at 372-377. Logging program blank/no conventional mud log.</t>
  </si>
  <si>
    <t>Slim Hole / Single String Injector. 7 in surface casing about 265-276 ft; 3-1/2 in, 9.3 lb/ft to about 441-443 ft; PBTD 413 ft, later HMT new PBTD 340 ft recommended.</t>
  </si>
  <si>
    <t>Moderate. CBL report surface-414 ft found good bonding, but scanned CBL says no cement data available at wellsite. Main issue sand/access: Sep 2001 sand fill covered 372-377; Feb 2002 cleaned 371-403; Feb 2011 tag 383; Mar 2012 tag 375 versus PBTD 408. No confirmed leak/fish/collapse.</t>
  </si>
  <si>
    <t>Sand fill/lower-perf coverage and steam-distribution management.</t>
  </si>
  <si>
    <t>Good. Onshore Duri Area 3 access with slickline/CTU service.</t>
  </si>
  <si>
    <t>Well 3Q-68B is a Duri Steam Flood (DSF) Area 3 slim hole steam injector, drilled in June 1997 and put on injection in October 1999, targeting the 1st Rindu sand with three perforation intervals at 310-330 ft, 354-368 ft, and 372-377 ft across a total net pay of 46 ft. The last documented surveillance was a PATS spinner survey in May 2011, which showed the well was mechanically sound with no wellbore obstruction and active steam injection at WHP 189 psi and 385°F, with steam distribution reasonably well-balanced across the upper two perforation intervals (approximately 50% to 1st Perf and 49% to 2nd Perf), while the 3rd perforation interval contributed only about 1.6% of total steam intake. A 2014 workover recommendation proposed a plug-back job to isolate the R2 zone and redirect steam exclusively to R1, citing that R2 in this pattern had matured and R1 still held viable oil saturation based on CO log and TDT data from offset well 3Q-69B, with an estimated workover cost of only $8,400 using slickline cement dump bailer technique. The well has no production history on record in any of the provided documents, confirming its role as a dedicated injector throughout its life. The most critical data gaps are the post-2011 well status, the reason for its current idle condition, cement quality uncertainty from the original CBL (Run 1 had no cement data returned at wellsite), and the absence of any post-2014 record confirming whether the recommended plug-back workover was ever executed</t>
  </si>
  <si>
    <t>DURI-04282</t>
  </si>
  <si>
    <t>Duri Field, Area 3 / DSF Area 2/3 NC, Pattern 3R-11C, Rindu unit.</t>
  </si>
  <si>
    <t>Rindu Sand only. Final drilling 17-Jun-1997 lists Injector/Rindu Injector. Top 1st Rindu 325 ft, Top Pertama 480 ft, planned TD about 460 ft.</t>
  </si>
  <si>
    <t>Jan 2000 initial completion: 407-417 ft, 21 holes; 400-407 ft, 14 holes; 390-396 ft, 13 holes; 369-376 ft, 15 holes; 354-364 ft, 21 holes; 344-354 ft, 20 holes; 340-344 ft, 8 holes; 328-332 ft, 9 holes. Total 121 holes using 2-1/8 in Enerjet. Logging NONE.</t>
  </si>
  <si>
    <t>Slim Hole / Single String Rindu Injector. 7 in surface casing about 307 ft; 3-1/2 in injection casing about 460-465 ft. PBTD 450 ft during 2000 initial completion/cleanout and later 365 ft in 2010 repair recommendation.</t>
  </si>
  <si>
    <t>Moderate. Cementing record shows 2 bbl good cement return on 3-1/2 in casing; CBL/VDL notes no cement data available at wellsite. Initial master-valve restriction and cement drill-out 403-450; later fiber-optic TDL 421. Latest integrity issue is surface wellhead: broken X-mas tree and tee/wellhead leakage in Oct 2010. No confirmed downhole leak/fish/collapse.</t>
  </si>
  <si>
    <t>HES-driven wellhead repair: broken X-mas tree and tee/wellhead leakage; procedure required shut-in, bleed, repair master valve, set RBP, replace tree.</t>
  </si>
  <si>
    <t>Good. Onshore Duri service access; rigless, CTU, and repair operations documented.</t>
  </si>
  <si>
    <t>Steam injection wellhead/injection-line facility exists; wellhead tree required repair in 2010.</t>
  </si>
  <si>
    <t>the well is a Rindu Sand steam injector in the Duri Steam Flood field, Area 3, and has never produced oil, which means it cannot be evaluated as an idle producer candidate without a formal role conversion study. The well was drilled in June 1997 as a slim hole single-string injector (3.5" casing, J-55, 465 ft TD), perforated across four Rindu sand intervals, and operated on vapor steam injection until around year 2000. The most critical concern is the October 2010 HSE-flagged wellhead failure, where the X-mas tree was broken and the tee was actively leaking, a condition that remains unresolved in the available records. Compounding this, primary cement quality is unverified because the 1997 CBL log noted no cement data was available at the wellsite, sand fill was confirmed at 421-423 ft against a PBTD of 450 ft as recently as 2004, and no current integrity survey exists. The slim hole completion severely limits artificial lift options, and no production data such as oil rate, water cut, or reservoir pressure has ever been recorded for this well, leaving 7 of the 15 screening parameters with no data to score. Before this well enters any reactivation program, four actions are mandatory: resolve the wellhead HES issue, run a current integrity survey, conduct a CTU sand cleanout to restore full PBTD access, and complete a pattern-level subsurface study to determine whether converting this injector to a producer is technically and commercially justified without damaging steam flood conformance in the 3R pattern</t>
  </si>
  <si>
    <t>DURI-04285</t>
  </si>
  <si>
    <t>Duri Field, Area 3 / DSF Area 3SW, Pattern 3R-14B, Rindu unit.</t>
  </si>
  <si>
    <t>Rindu Sand only. Final drilling lists Injector/Rindu Injector. Top 1st Rindu about 344 ft, Top Pertama about 498 ft, TD/injection casing about 475-478 ft.</t>
  </si>
  <si>
    <t>Perforated 354-360 ft, 13 holes at 2 spf; 362-380 ft, 37 holes; 407-438 ft, 63 holes. Total 113 holes. 2-1/8 in dyna strip/Enerjet, 21.6 HMX, 0-degree phasing, 0.45 in hole. 2011 spinner steam exit: 13.68%, 26.79%, 59.53%. Logging NONE.</t>
  </si>
  <si>
    <t>Slim Hole Rindu Injector. 7 in surface casing about 326 ft; 3-1/2 in, 9.3 lb/ft injection casing about 475 ft. PBTD 443 ft, TD 475 ft. No packer/tubing in cleanout recommendation.</t>
  </si>
  <si>
    <t>Moderate. Full circulation/cement returns; 3-1/2 in actual return 4 bbl. CBL/VDL exists but OCR has no readable cement-quality interpretation. Recurring sand fill/access: 4 ft fill at 466 in May 2000; TOS 405 covering 407-438 in 2001; TOS 382/61 ft fill Apr 2007; last slickline tag 374 before 2009; CTU tag 400 in 2009. No confirmed leak/fish/collapse.</t>
  </si>
  <si>
    <t>Sand fill covering lower Rindu perforations/reduced sweep; cleanout/pressure wash.</t>
  </si>
  <si>
    <t>Good. Onshore Duri Area 3 service access.</t>
  </si>
  <si>
    <t>Steam injection wellhead/injection-line facilities documented.</t>
  </si>
  <si>
    <t xml:space="preserve">Well 3R-14B (D4285) is a slim hole steam injector drilled in June 1997 in Duri Field, DSF Area 3SW, targeting the Rindu sand through three open perforation intervals between 354 and 438 ft. The well has never produced oil. It operated as a steam injector from May 2000 through at least September 2011, when the last krypton/spinner survey confirmed all three perforation zones were actively taking steam at a surface rate of 1,200 BSPD with a wellhead pressure of 185 psi. The primary recurring mechanical issue is sand fill covering the bottom perforation interval (407–438 ft), which was cleaned out multiple times via slickline and CTU operations, with the wellbore confirmed clean and accessible to PBTD 443 ft on each occasion. No casing leak, tubing failure, fish, or integrity-threatening condition is documented in any record. The well's shutdown reason, current wellhead condition, and post-2011 status are absent from the provided dataset, making it impossible to classify this well as an idle producer candidate without first confirming whether a conversion to production was ever planned, what triggered the current idle status, and whether the Rindu sand at this location still holds recoverable oil or has been swept by steam flood. In its current classification, this well is a support injector, not a producer, and any idle well reactivation analysis must start with resolving those fundamental status and conversion questions.
</t>
  </si>
  <si>
    <t>DURI-04288</t>
  </si>
  <si>
    <t>Duri Field, Area 3, DSF Pattern 4Q-71B, Rindu injector.</t>
  </si>
  <si>
    <t>Rindu Sand. Drilling program lists 4Q-71B, injector/RINJ, Top 1st Rindu -178 ft subsea and Top Pertama -328 ft subsea; completion recommendation uses Top Rindu 273 ft and PBTD 387 ft.</t>
  </si>
  <si>
    <t>Perforated 273-280 ft, 15 holes at 2 spf; 287-297 ft, 21 holes; 301-310 ft, 19 holes; 342-354 ft, 25 holes. Total 80 holes. 2-1/8 in dyna strip, 21.6 gr HMX, 0-degree phasing, 0.45 in hole. Drilling/well-file pages show logging program NONE/no conventional mud log.</t>
  </si>
  <si>
    <t>Slim Hole Rindu Injector. 3-1/2 in injection casing set about 407 ft; PBTD 387 ft; TD 407 ft.</t>
  </si>
  <si>
    <t>Moderate. Sinker bar tagged 302 ft with about 85 ft sand fill; spinner TDL around 350-353 ft versus PBTD 387. No casing leak/fish documented in reviewed pages.</t>
  </si>
  <si>
    <t>Sand fill/access restriction and injection surveillance; not a production shutdown.</t>
  </si>
  <si>
    <t>Good. Onshore Duri Area 3, standard rigless/slickline/CTU access.</t>
  </si>
  <si>
    <t>Injector wellhead and injection-line hookup in completion procedure; ready to POI.</t>
  </si>
  <si>
    <t>Well Duri 4288 (4Q-71B) is a slim-hole Rindu sand steam injector drilled on 01–02 July 1997 in Duri Field, DSF Area 3, operated by PT Chevron Pacific Indonesia, and it has never produced oil — making it fundamentally different from a conventional idle producer reactivation candidate. The well was completed as a single-string 3.5" J-55 injection casing to 407 ft TD, perforated across four Rindu sand intervals between 273 and 354 ft (49 ft net sand), and has operated continuously as a steam injector with the last confirmed operational record being a spinner survey on 15 March 2012, when the well was injecting at 520 BSPD with WHP 200 psi and all four perforated intervals actively taking steam. No oil rate, no water cut, no PI, no reserve data, and no shut-in reason document exist in the provided files, which means 7 of the 15 idle well screening parameters cannot be scored from available data. The CBL-VDL run in July 1997 estimated top of cement at 28 ft but was run without a base log on site, and no post-2012 integrity survey or wellhead inspection exists, leaving current well integrity unverified for the past 14 years. Before this well can enter any reactivation program, four actions are non-negotiable: confirm current well status and shut-in reason with a field inspection, run a current CBL or EM casing inspection to re-establish integrity confidence, conduct a pattern-level subsurface study with PNL or RST to confirm whether the Rindu sand still holds recoverable oil at this location after decades of steam flooding, and complete a formal injector-to-producer conversion feasibility study including lift design for the 3.5" slim-hole completion — without these steps, any capital allocation to this well carries high technical and commercial uncertainty</t>
  </si>
  <si>
    <t>DURI-04290</t>
  </si>
  <si>
    <t>Duri Field, Area 3, DSF Pattern 3Q-88C, Rindu injector.</t>
  </si>
  <si>
    <t>Rindu Sand. Drilling program lists injector/RINJ, Top 1st Rindu -188 ft subsea and Top Pertama -337 ft subsea; completion Top Rindu 277 ft, PBTD 382 ft.</t>
  </si>
  <si>
    <t>Initial perforations: 281-285 ft, 5 holes at 1 spf; 303-308 ft, 6 holes; 312-317 ft, 6 holes; 352-362 ft, 11 holes. Later 2011 program added/reperforated 281-285, 290-300, 303-308, 312-317, 335-348, and 352-362 ft at 2 spf, 90-degree phasing. Spinner shows steam exit across these intervals. Logging program NONE/no conventional mud log.</t>
  </si>
  <si>
    <t>Slim Hole Rindu Injector. 3-1/2 in injection casing to about 417 ft; PBTD 382 ft.</t>
  </si>
  <si>
    <t>Moderate. Repeated tag/access limitations: TOS/tag around 359-375 ft in cleanout pages; casing scraper reached 382 ft, pressure washer tagged 375 ft. No casing leak/fish found in reviewed pages.</t>
  </si>
  <si>
    <t>Sand fill/coverage and steam-distribution improvement through add/re-perf.</t>
  </si>
  <si>
    <t>Good. Onshore Duri Area 3 access with mast truck, CTU, slickline, and spinner work.</t>
  </si>
  <si>
    <t>Injector wellhead and injection-line hookup; ready to POI in completion procedure.</t>
  </si>
  <si>
    <t>DURI #4290 (3Q-88C) is a shallow well in Duri Field, Riau Province, drilled and operated by PT Caltex Pacific Indonesia, with a maximum driller depth of 382 ft and a 3.5-inch tubing string. The well had documented activity as recently as 26 February 2019 based on the daily drilling report title, but the nature and outcome of that work remains unknown because the file content was not extractable. The only integrity reference available is a CBL/VDL log run on 8 August 1997, nearly 29 years ago, and even that log was run without cement data at the wellsite, leaving zonal isolation unverified from the start. No production history, no well test, no reservoir zone assignment, no perforation record, no artificial lift data, no shutdown reason, and no facility or access condition report could be extracted from any of the 17 files in the Space. The eight seismic horizon grids covering the Duri area provide structural context at the field scale, but they contribute nothing to well-level screening decisions. In summary, DURI #4290 cannot be meaningfully screened or ranked for reactivation with the current data set. The two critical documents that should carry the bulk of required information, the Well File Report (file:1) and the 2019 Daily Drilling Report (file:15), are present in the Space but their content was not readable by the extraction tool. Those two files must be opened and reviewed directly before any scoring, ranking, or reactivation recommendation can be made with technical credibility.</t>
  </si>
  <si>
    <t>DURI-04317</t>
  </si>
  <si>
    <t>Duri Field, Area 3, DSF Pattern 3R-74B, Rindu injector. A separate drilling-report PDF name mentions 7N-41B, but the well-file pages for DURI04317 identify 3R-74B and are used for this row.</t>
  </si>
  <si>
    <t>Rindu Sand. Well-file drilling program lists injector/RINJ, Top 1st Rindu -232 ft subsea and Top Pertama/Kedua -357 ft subsea.</t>
  </si>
  <si>
    <t>Perforated 353-362 ft, 19 holes at 2 spf; 376-381 ft, 11 holes at 2 spf. Total 30 holes. 2-1/8 in dyna strip, 21.6 gr HMX, 0-degree phasing, 0.45 in hole. No conventional mud-log evidence found; drilling program logging field is blank in the well-file copy.</t>
  </si>
  <si>
    <t>Slim Hole Rindu Injector. Injection casing set about 436 ft; PBTD 424 ft in rigless report.</t>
  </si>
  <si>
    <t>Moderate. Source shows check-TOS operations and spinner TDL at 402 ft versus PBTD 424; no casing leak/fish/collapse found in reviewed DURI04317 pages.</t>
  </si>
  <si>
    <t>TOS/sand-surveillance work; no explicit mechanical shutdown reason found.</t>
  </si>
  <si>
    <t>Good. Onshore Duri Area 3; rigless/slickline/spinner service documented.</t>
  </si>
  <si>
    <t>Injector wellhead and injection-line hookup; completion procedure says ready to POI.</t>
  </si>
  <si>
    <t>Well 3R-74B (Drill No. 4317) was drilled on 17 July 1997 and completed in October 1999 as a slim-hole steam injector targeting the Rindu sand in Duri Field Area 3, with perforations across three Rindu sub-intervals at 353-362 ft and 376-381 ft and a PBTD of 424 ft. The well went idle at an undetermined date, and the only post-completion activity on record consists of two rigless operations in early 2004: a slickline check-TOS run on 4 February 2004 that confirmed 17 ft of sand fill above PBTD (tag at 407 ft, bottom interval at 381 ft), and a spinner-temperature survey on 5 March 2004 that recorded a wellhead pressure of 100 psi and a maximum downhole temperature of 352 degrees F, confirming the well was still under pressure at that time. No production history, well test, reservoir pressure survey, or integrity inspection exists beyond those two 2004 operations, meaning the well has been without documented attention for over 21 years. The most likely driver of idle status is the well's original design as a steam injector, not a producer, combined with the sand fill that restricts access to the perforated intervals and the absence of any artificial lift or production tubing configuration. The primary reactivation barrier is not integrity failure, it is the absence of data. The well is shallow, accessible, and appears mechanically sound based on 2004 records, which makes it a reasonable candidate for a low-cost data gathering intervention: slickline sand cleanout, tubular pressure test, CBL review, and a production test to determine whether the Rindu sand can deliver commercial oil at current reservoir conditions</t>
  </si>
  <si>
    <t>DURI-04319</t>
  </si>
  <si>
    <t>Duri Field, Area 3, DSF Pattern 3R-54B, Rindu injector.</t>
  </si>
  <si>
    <t>Rindu Sand. Drilling program lists injector/RINJ, Top 1st Rindu 331 ft (-233) and Top Pertama/Kedua 497 ft (-399).</t>
  </si>
  <si>
    <t>Perforated 341-353 ft, 25 holes at 2 spf; 361-367 ft, 13 holes; 371-382 ft, 23 holes; 390-393 ft, 7 holes; 406-420 ft, 29 holes. Total 97 holes. 2-1/8 in dyna strip/Dyna Star, 21.6 gr HMX, 0-degree phasing, 0.45 in hole. Logging program blank/no mud log evidence.</t>
  </si>
  <si>
    <t>Slim Hole Rindu Injector. 7 in surface casing about 316 ft; 3-1/2 in, 9.3 lb/ft casing to 477 ft; PBTD 440 ft.</t>
  </si>
  <si>
    <t>Moderate to poor. Sand/TOS repeatedly documented: TOS 411 ft in 2005, tag 417 ft with 23 ft sand in 2006, TOS 415 ft in 2007. During initial work a pressure washer tagged 323 ft and could not push down. No confirmed leak/fish found.</t>
  </si>
  <si>
    <t>Sand fill/TOS restricting access and injectivity; cleanout and pressure-wash/reperforation recommended.</t>
  </si>
  <si>
    <t>Good. Onshore Duri Area 3; CTU, slickline, mast truck, and spinner operations documented.</t>
  </si>
  <si>
    <t>Steam injector wellhead and injection-line hookup; procedure includes putting well on injection after cleanout.</t>
  </si>
  <si>
    <t>Well 3R-54B (Drill No. 4319) is a single-string steam injector drilled in July 1997 in the Duri Steam Flood (DSF) Field, Area 31, completed in the Rindu sand of the Bekasap Formation at shallow depth (341–420 ft), and has been idle for over 15 years with no recorded activity since a routine slickline depth check on 11 November 2009. The well was underperforming as an injector even before going idle, achieving only 350 BSPD against a target of 525 BSPD, primarily due to recurring sand accumulation above the perforations — a persistent mechanical issue that required a CTU cleanout in September 2007 and was repeatedly re-confirmed on subsequent slickline surveys, with top-of-sand (TOS) consistently found at 415–426 ft. All five perforation intervals in the Rindu sand remain open with no documented plug-back, and no casing or tubing failure has been recorded, suggesting the wellbore is mechanically intact, although cement quality is unverifiable (CBL file unreadable) and no formal dual-barrier assessment has been documented. Critically, no production history, oil rate, or water cut data is available in the provided files, and the well has no installed artificial lift, meaning that if reactivated as a producer, a sand management strategy and an artificial lift system must both be designed from scratch. The well's location access and facility readiness also require on-site verification before any intervention can be planned, as no surface facility or flowline data was provided.</t>
  </si>
  <si>
    <t>DURI-04323</t>
  </si>
  <si>
    <t>Duri Field, Area 3, DSF Pattern 4R-51B, Rindu injector.</t>
  </si>
  <si>
    <t>Rindu Sand. Drilling program lists injector/RINJ, Top 1st Rindu 255 ft (-155) and Top Pertama/Kedua 404 ft (-304).</t>
  </si>
  <si>
    <t>Perforated 282-302 ft, 41 holes at 2 spf. 2-1/8 in dyna strip, 21.6 gr HMX, 0-degree phasing, 0.45 in hole. Logging program NONE. A page mentioning D4423/on-production is for another well and was excluded.</t>
  </si>
  <si>
    <t>Slim Hole Rindu Injector. 3-1/2 in casing to 384 ft; PBTD 321 ft in initial recommendation.</t>
  </si>
  <si>
    <t>Poor. Wellhead/surface integrity issue documented: bubbling around wellhead/eruption. Recommendation includes pressure test casing, squeeze improve bonding at 260-270 ft, run CBL after squeeze, pressure wash all perfs, and cleanout to PBTD.</t>
  </si>
  <si>
    <t>Wellhead bubbling/eruption and poor bonding concern; squeeze/pressure-test/cleanout recommended.</t>
  </si>
  <si>
    <t>Good. Onshore Duri Area 3; CTU, wellhead work, CBL, and pressure-testing access documented.</t>
  </si>
  <si>
    <t>Steam injector wellhead and injection-line hookup planned; workover called for installing X-mas tree and connecting to steam line after repair.</t>
  </si>
  <si>
    <t>Well 4R-51B (DURI #4323) is a Rindu sand slim hole steam injector in the Duri Steam Flood field, Area 3, drilled in July 1997 and placed on injection in December 1999. The well was shut in due to surface eruption caused by a cement bond failure that allowed injected fluids to migrate from the Rindu perforations (282-302 ft) to surface, confirmed by a CBL run in July 2003 showing bad bonding from the Rindu interval to the 240-ft level. A CTU improve-bonding squeeze job in October 2003 remediated the failure, with a post-job CBL confirming good bonding restored, and the well was declared ready for injection at a total operation cost of approximately USD 38,755. However, no operational record, injection performance data, or integrity verification exists after October 2003, leaving the well effectively idle for over 20 years with its current condition entirely unverified. The 15-parameter screening matrix produced a total score of 45 out of 75 (average 3.0), classifying the well as Medium Priority. Its two strongest attributes are a low estimated reactivation cost (CTU-based, well below USD 0.5 million) and a defined strategic role in the Area 3 steam flood injection pattern. The critical constraints are an extremely low oil gain estimate of only 10 BOPD (a 2003 engineering estimate, not a measured rate), poor data completeness across production, reservoir pressure, and reserves, and unverified current integrity status. The recommended path forward is a low-cost verification program including a wellhead inspection, CBL run, and slickline PBTD check before any workover commitment is made.</t>
  </si>
  <si>
    <t>DURI-04332</t>
  </si>
  <si>
    <t>Duri Field, Area 3 / Duri Steam Flood (DSF)</t>
  </si>
  <si>
    <t>1st Rindu Formation (primary target). Pertama Formation present below TD but not perforated (top at 417 ft DD, -329 ft SS, TD was set 20 ft above Pertama). 2nd Rindu at -241 ft SS and 3rd Rindu at -269 ft SS also indicated on cross-section.</t>
  </si>
  <si>
    <t>Perforated interval: 287-308 ft (21 ft), 1st Rindu sand. 2 SPF, 42 holes (Dynastar 2-1/8"). Mud log lithology: sand/shale. GR log confirms Rindu sand at 287-308 ft. No Pertama perforation.</t>
  </si>
  <si>
    <t>Slim Hole (SH), Single String (SS) injection completion. 7" surface casing to 253 ft. 3.5" OD, 9.3 lb/ft, J-55, EUE production casing to 397 ft. Perforated 287-308 ft. Completion type designation: SH (Slim Hole) confirmed on FMT header.</t>
  </si>
  <si>
    <t>None installed. Well was designed and operated as a steam injector. No pump, rod, tubing pump, ESP, or any lift equipment was mentioned in any WSWO or completion record. Injector wellhead (X-Mast tree) installed at completion.</t>
  </si>
  <si>
    <t>Wellbore accessible by slickline to PBTD 366 ft, confirmed Feb-2011, Feb-2010, Nov-2008. Oct-2007 coiled tubing cleanout found sand fill from 319 ft to 363 ft; cleaned to 363 ft but could not reach PBTD 366 ft. Feb-2008 slickline tagged at 302 ft on single string, could not go deeper (possible fill or restriction). CBL/VDL run Sep-1997: header states "No cement data available." No casing leak, tubing failure, or crossflow documented. Dual barrier not confirmed.</t>
  </si>
  <si>
    <t>Not explicitly documented in any provided file. No shut-in order, idle well registration, or shutdown notice exists in the dataset. The well was active as injector until at least Feb-2011 (last WSWO). Likely shut in due to: (1) steam flood pattern adjustment or rebalancing, (2) injectivity decline possibly related to sand fill (noted in Oct-2007 CT job), or (3) routine cycle in DSF injection program. This is interpretation only, not confirmed by direct document evidence.</t>
  </si>
  <si>
    <t>Steam Injector / Rindu Injector (RINJ). Designation code on FMT header: R (Rindu), SH (Slim Hole), Action Code 06 (Steam Injection Well).</t>
  </si>
  <si>
    <t>Easy year-round access. Onshore Duri Field, Area 3, well-developed road network. Multiple slickline and CTU contractors accessed the well without difficulty from 1997 to 2011. Grid coordinate 4R-48, Area 31, confirmed accessible by road. Vacuum truck also accessed site for oil vacuuming.</t>
  </si>
  <si>
    <t>Steam injection line was connected at initial completion. FMT header records two orifice injection lines: vapour (V) orifice 0.835" 65LL and liquid (L) orifice 0.28" 65LL, with wellhead pressure noted. Injection hookup completed Dec-1999 and well POI. Current condition of injection line and wellhead after 2011 is not confirmed in available files.</t>
  </si>
  <si>
    <t xml:space="preserve"> this well should not be treated as a conventional idle producer reactivation. The economic case must be built from scratch, starting with a steam flood material balance and an assessment of whether removing this injector from the pattern would affect adjacent producer performan. Well DURI 4332 is a shallow slim-hole steam injector completed in August 1997 targeting the 1st Rindu sand at 287-308 ft (TD 397 ft) in Duri Field Area 3, operated by PT Caltex Pacific Indonesia. The well was perforated in September 1999 and put on injection (POI) on 10 December 1999 with a maximum injection pressure of 201 psi, and it has never been operated as a producer. The well file documents recurring sand fill above and within the perforation interval, with a coiled tubing cleanout in October 2007 removing fill from 319 to 363 ft but unable to reach PBTD at 366 ft, and a February 2008 slickline job tagging at only 302 ft, which points to sand bridging as a persistent injectivity issue and a likely contributor to the well being shut in. By February 2011, slickline confirmed the well was accessible to 356-358 ft, suggesting the sand issue was partially managed but never fully resolved. The CBL/VDL log run in September 1997 notes "no cement data available" and the log was not correlated, leaving cement isolation quality across the Rindu interval unverified. No production history, BOPD, water cut, reservoir pressure, PI, or reserve data exists in any provided file because the well was operated solely as an injector, meaning any reactivation as a producer would require a full conversion study, injectivity-to-productivity assessment, artificial lift design, and reservoir pressure evaluation before a screening score can be assigned with real confidence.</t>
  </si>
  <si>
    <t>DURI-04831</t>
  </si>
  <si>
    <t>Duri Field, Area 5, DSF Pattern 7P-28B, Rindu single-string injector.</t>
  </si>
  <si>
    <t>Rindu Sand. Drilling program lists single string injector/RINJ, Top 1st Rindu 442 ft (-377) and Top Pertama 602 ft (-537).</t>
  </si>
  <si>
    <t>No clean initial completion/perforation report found in the reviewed DURI04831 well-file pages. Drilling program says NO LOGGING, expected gas NONE, expected steam NONE. Because no perforation source was found, intervals and mud-log details are not inferred.</t>
  </si>
  <si>
    <t>Planned Single String Rindu Injector. Drilling program lists 3-1/2 in production casing string to about 587 ft; no reviewed source confirms final perforated completion.</t>
  </si>
  <si>
    <t>Unknown to moderate. CBL/log files exist, but reviewed text pages did not provide a clean completion or integrity interpretation. No casing leak/fish/sand-fill evidence found in accessible extracted text.</t>
  </si>
  <si>
    <t>NA. No shutdown reason found in reviewed source.</t>
  </si>
  <si>
    <t>Rindu Single String Injector / source-gap well.</t>
  </si>
  <si>
    <t>Good. Onshore Duri Area 5; drilling reports show standard rig access around 1.0 km from base.</t>
  </si>
  <si>
    <t>Planned injector facility only; no clean source confirming final injection-line hookup/POI was found.</t>
  </si>
  <si>
    <t>Well DURI #4831 (7P-28B) is a single-string steam injector drilled and completed in May 1999 in the Duri Steam Flood (DSF) Field, targeting the Rindu zone at a depth of 442 ft DD / -377 ft SS, with the Pertama zone identified below at 602 ft DD, and the well reaching a total depth of 587 ft with 3.5" J-55 EUE tubing cemented in place using 144 sacks of 117 pcf cement with 4 bbls confirmed return to surface. A CBL-VDL was run by Schlumberger in November 1999 with the logger reaching 496 ft, and no subsequent workover, slickline, or intervention event appears in the available dataset. The well is classified as a steam injector (Class: S INJ), meaning it was never placed on production, and consequently zero production data, zero pressure survey data, zero water cut history, and zero PI data exist in the provided files. Because of this, 9 out of 15 idle well screening parameters carry a "not enough evidence" rating, the data completeness score is 2 out of 5, and any decision to reactivate or convert this well to a producer cannot be supported without first retrieving the complete well file from the PHR asset database, conducting a current wellhead and casing integrity inspection, and obtaining updated reservoir pressure and offset producer performance data for the Rindu zone in grid 7P.</t>
  </si>
  <si>
    <t>DURI-04862</t>
  </si>
  <si>
    <t>Duri Field, Area 5, DSF Pattern 7N-34B, Rindu injector.</t>
  </si>
  <si>
    <t>Rindu Sand. Drilling/well-file program lists single string injector/RINJ and no logging; Top 1st Rindu and Top Pertama are present but OCR provides mainly subsea markers (-292 and -439).</t>
  </si>
  <si>
    <t>Perforated 364-384 ft, 41 holes at 2 spf; 399-406 ft, 15 holes at 2 spf. Total 56 holes. 2-1/8 in dyna strip, 21.6 gr HMX, 0-degree phasing, 0.45 in hole. No logging/no conventional mud log.</t>
  </si>
  <si>
    <t>Slim Hole Rindu Injector. Injection casing set about 491 ft; PBTD 482 ft.</t>
  </si>
  <si>
    <t>Moderate to poor. Sand fill recurring: 477 ft tag with 5 ft fill, 476 ft tag with 6 ft fill, 453 ft tag with 29 ft fill, 411 ft tag with 71 ft fill, and TOS 408 ft noted against PBTD 482. No leak/fish found.</t>
  </si>
  <si>
    <t>Sand fill/TOS too high covering perforations; cleanout to PBTD recommended.</t>
  </si>
  <si>
    <t>Good. Onshore Duri Area 5; rigless, CTU, slickline, and mast-truck operations documented.</t>
  </si>
  <si>
    <t>Injector wellhead and injection-line hookup; initial completion and work reports say ready to POI.</t>
  </si>
  <si>
    <t xml:space="preserve">Well 7N-34B (#4862) is a slim hole steam injector completed in the Rindu sand at Duri Area 5, and its idle status is driven primarily by recurring sand fill above the perforations rather than any structural integrity failure. The well has a confirmed good cement bond from the November 1999 CBL run, no documented casing leak, tubing failure, or fish in the wellbore, and all previous interventions were successfully executed as rigless CTU or slickline operations at very low cost. However, by June 2006, sand fill had reached 106 ft above PBTD, covering the Rindu perforations at 364–406 ft and effectively blocking steam injection, and no intervention has been recorded since that date. The well scores strongly on intervention cost (Score 5, CTU cleanout estimated under $50K), accessibility (Score 5, Duri field infrastructure), and strategic value (Score 4, key injector in the 7N pattern for Area 5 steam flood conformance), but scores are weak on all production-related parameters simply because this well was never a producer — making a direct oil gain, water cut, or PI assessment impossible without either a producer conversion study or analogy data from nearby Rindu producers. The most practical immediate action is a slickline TOS check to confirm current sand fill depth, followed by a CTU sand cleanout if perforations are covered, which would restore injection compliance at minimal cost and effort.
</t>
  </si>
  <si>
    <t>DURI-04864</t>
  </si>
  <si>
    <t>Duri Field, Area 5, DSF Pattern 7N-45B, Rindu injector.</t>
  </si>
  <si>
    <t>Rindu Sand. Drilling/well-file program lists single string injector/RINJ, Top 1st Rindu subsea -311 and Top Pertama subsea -463; no logging.</t>
  </si>
  <si>
    <t>Perforated 387-391 ft, 9 holes at 2 spf; 395-418 ft, 47 holes; 433-436 ft, 7 holes. Total 63 holes. 2-1/8 in dyna strip, 21.6 gr HMX, 0-degree phasing, 0.45 in hole. No conventional mud log.</t>
  </si>
  <si>
    <t>Slim Hole Rindu Injector. Injection casing set around 517 ft; PBTD 508 ft.</t>
  </si>
  <si>
    <t>Moderate. Cleanout pages show TOS 402, 421, and 427 ft; CTU cleaned sand to 508 ft/PBTD and later rechecked hole clean. No casing leak/fish/collapse found in reviewed pages.</t>
  </si>
  <si>
    <t>Sand fill/TOS too high covering intervals; cleanout to PBTD recommended. 2017 shut-in was operational for pressure/PLT survey.</t>
  </si>
  <si>
    <t>Good. Onshore Duri Area 5, standard rigless/CTU/logging access.</t>
  </si>
  <si>
    <t xml:space="preserve"> DURI 7N-45B (#4864) is a shallow steam injector well in the Duri Steam Flood Field, Area-05, drilled in June 1999 to a TD of 516 ft targeting the Duri sandstone formation, with three confirmed perforation intervals between 367-436 ft. The well has been shut-in with no documented oil production history, meaning it has never been operated as a producer based on available records, which is the most significant limitation for any reactivation assessment. The primary mechanical issue is recurrent sand fill, with the wellbore currently blocked to approximately 409 ft against a PBTD of 508 ft, as confirmed by the December 2017 Static Gradient Survey, a condition that mirrors what was found and remediated by CTU cleanout back in September 2006. Reservoir pressure as measured in December 2017 is critically low at approximately 24-26 PSI at depth, which is consistent with a heavily depleted steam flood zone and indicates that artificial lift will be mandatory if any conversion to producer is ever attempted. The good news is that no casing failure, tubing leak, or active surface hazard has been documented in any of the well records, and the location remains accessible with established onshore infrastructure. Before any reactivation decision can be made with confidence, five items must be resolved: a CTU sand cleanout to restore wellbore access, an RST or PNL saturation log to confirm residual oil in the perforated intervals, a pattern-level reservoir study to quantify remaining reserves, a CBL review to verify zonal isolation, and a facility assessment to determine whether production infrastructure can support a well type conversion from injector to producer.</t>
  </si>
  <si>
    <t>DURI-04867</t>
  </si>
  <si>
    <t>Duri Field, Area 5, DSF Pattern 7N-37B, Rindu injector.</t>
  </si>
  <si>
    <t>Rindu Sand. Drilling/well-file program lists single string injector/RINJ and Rindu-only injector status header; production casing 3-1/2 in to 524 ft.</t>
  </si>
  <si>
    <t>Perforated 396-414 ft, 37 holes at 2 spf; 418-431 ft, 27 holes at 2 spf. Total 64 holes inferred from interval shots and later wash report. 2-1/8 in dyna strip, 21.6 gr HMX, 0-degree phasing, 0.45 in hole. No conventional mud log.</t>
  </si>
  <si>
    <t>Slim Hole Rindu Injector. Injection casing set 524 ft; PBTD 518 ft.</t>
  </si>
  <si>
    <t>Moderate. Sand fill recurring: tag 426 ft with 92 ft sand fill, tag 488 ft with about 30 ft fill, tag around 499-501 ft with 17-19 ft fill, PBTD 518. Casing scraper reached 518/PBTD and washed all 64 holes. No leak/fish documented.</t>
  </si>
  <si>
    <t>Sand fill/TOS and interval-wash requirements; no explicit mechanical shutdown reason.</t>
  </si>
  <si>
    <t>Good. Onshore Duri Area 5; slickline, CTU, and interval-wash operations documented.</t>
  </si>
  <si>
    <t>Injector wellhead/injection-line hookup; completion and work reports say ready/re-POI.</t>
  </si>
  <si>
    <t>DURI #4867 (Grid 7N-37B) is a slim hole steam injector completed in June 1999 in the Rindu zone of Duri Field Area 5, perforated across two intervals (396–414 ft and 418–431 ft) with 64 gun holes confirmed by CCL/Gamma Ray correlation. The well was placed on steam injection in November 2000 and remained active as a pattern injector until August 2006, after which no documented activity exists, creating a 19-year data gap to present day. The single dominant technical issue is progressive sand fill over the Rindu perforations, which worsened consistently from 17 ft in 2001 to 92 ft in 2006 despite repeated slickline depth checks — notably, no clean-out or wash job was ever executed to address it. No casing or tubing failure was reported in any intervention record, meaning the well structural condition is likely sound, but the float valve failure during the original 1999 cement job introduces an unresolved uncertainty about cement isolation quality at the base of the completion, and no valid CBL is available to confirm this. The well has never produced oil, so there is no production history, no PI, no water cut, and no oil rate data available from any document in this dataset, which makes a direct reactivation-as-producer assessment impossible without first defining a conversion scenario, obtaining pattern producer performance data, running a valid CBL, and conducting a CT clean-out followed by a short production test.</t>
  </si>
  <si>
    <t>DURI-04875</t>
  </si>
  <si>
    <t>Duri Steam Flood (DSF), Area 5, Block 6P</t>
  </si>
  <si>
    <t>Rindu Sand (1st Rindu)</t>
  </si>
  <si>
    <t>Perforation: 360-376 ft (16 ft interval, 2 SPF, 0-deg phasing, 33 holes, 2-18 Enerjet gun). Mud log / marker correlation: Top 1st Rindu at 344 ft (291 ft SS), 3rd Rindu at 444 ft (365 ft SS), OWC at 650 ft SS. Mud log lithology for the Rindu interval (344-376 ft) described as sand based on the drilling program cross-section. No detailed mud log show data (oil stain, gas reading) recorded in the available documents.</t>
  </si>
  <si>
    <t>Single String Slim-Hole Steam Injector. 7-inch surface casing at 315 ft. 3.5-inch production casing to 478 ft TD. 3.5-inch tubing set as steam injection string. Wellhead: slim-hole injector head. No packer details explicitly stated. Perforated interval: 360-376 ft.</t>
  </si>
  <si>
    <t>None. Well is designed and operated as a steam injector. No artificial lift installed at any time in the documented history. If converted to a producer in the future, artificial lift design would be required from scratch.</t>
  </si>
  <si>
    <t>Moderate. No casing leak, no tubing failure, no fish, no packer issue, no cement failure on record. CBL-VDL run on 8 March 2000 confirmed good cement bonding. Recurring sand fill accumulation is the only documented integrity concern. Sand fill history: 402 ft (Oct-2001), 396 ft (Mar-2002), 364 ft (Sep-2003), 410 ft (Feb-2011), 427 ft (Mar-2012), with PBTD confirmed at 442 ft across all surveys. CTU cleanout in July 2006 successfully cleaned to 426 ft. Dual barrier verification post-2012 is not confirmed. Current wellhead condition is unknown.</t>
  </si>
  <si>
    <t>Not explicitly stated in any provided document. The well was still conducting routine surveillance slickline runs as recently as March 2012, indicating the idle status resulted from an operational or strategic decision rather than a mechanical failure. No worded "reason for shutdown" entry was found in the well status header or any job ticket. Most likely cause: routine cycle of steam pattern management in DSF operations, where low-priority injectors are routinely shut in to redirect steam to higher-value patterns.</t>
  </si>
  <si>
    <t>Steam Injector. Classified as Slim-Hole Single String Injector in Duri Steam Flood pattern 6P-34. Designed and completed to support Area-3 DSF pattern development.</t>
  </si>
  <si>
    <t>Good year-round access. Well is located in the Duri Steam Flood operated field, Riau Province, Sumatra. DSF is a large, mature operated field with an established all-season internal road network. Distance from nearest offset well location (6P-42B) is 1.0 km. No terrain constraint, seasonal access issue, or security concern documented in the well file.</t>
  </si>
  <si>
    <t>Steam injection infrastructure is in place. At POI (4 May 2000), the well was connected to the injection line with a slim-hole injector wellhead, orifice installed, and upper differential target at 325 psi. ICR step 14 confirms hook-up to the injection line as part of initial completion. The 2006 CTU job confirms the well remained connected as a shut-in injector at that time. Current line condition and valve status post-2012 are unverified. No gathering line, separator, or production facility is associated with this well since it is not a producer.</t>
  </si>
  <si>
    <t xml:space="preserve">DURI 4875 is a shallow slim-hole steam injector in the Duri Steam Flood field, Area 5, Grid 6P-34B, completed in the Rindu sand at 360-376 ft and placed on injection on 4 May 2000. The well has no production history and carries no oil rate or water cut data, as it was never operated as a producer. Its mechanical condition is reasonably sound, with no casing or tubing failure, no fish, and CBL-confirmed good cement bonding from 2000, though recurring sand fill has been the only documented wellbore issue, with the top of sand rising to 427 ft by March 2012, just 15 ft above the top perforation. The last field operation on record is a routine slickline surveillance tag on 2 March 2012, and no injection volumes or allocation data are available in the provided documents to confirm injection performance after the initial POI date in 2000. The shutdown reason is not explicitly documented, and the most likely explanation is a routine steam pattern management decision rather than a mechanical failure. The well's key value lies in its very low reactivation cost, estimated below USD 50,000 for a CTU sand cleanout and injectivity test, combined with good surface access and existing injection line infrastructure. However, the case for reactivation remains incomplete without three critical inputs: a current injectivity test to confirm the wellbore can accept steam, a reservoir pressure survey or fall-off test to determine whether the 6P-34 pattern still has pressure support capacity, and an RST or PNL log from offset producers to confirm that residual oil remains in the Rindu sand in this pattern area. Until those data points are in hand, the well sits at Medium Priority, technically ready to reactivate at low cost but lacking the reservoir-side evidence needed to justify the investment with confidence.
</t>
  </si>
  <si>
    <t>DURI-05060</t>
  </si>
  <si>
    <t>=</t>
  </si>
  <si>
    <t>Duri Oil Field, DSF Area 5</t>
  </si>
  <si>
    <t>Rindu Sand perforated at 291-300 ft, 304-316 ft, 318-330 ft, 334-352 ft. Total 4 intervals, 106 holes at 2 spf using 2-1/8-inch Dynastar. Log referenced to offset well 6N-45A (#2488). Top Rindu at 291 ft, net sand 59 ft total.</t>
  </si>
  <si>
    <t>Slim Hole Single String Steam Injector. Surface casing 7-inch at 20 lb/ft to 250 ft. Production casing 3.5-inch at 9.3 lb/ft to 421 ft. Open hole 8.5-inch. No tubing string installed. Wellhead hookup to steam injection line.</t>
  </si>
  <si>
    <t>None. Well is a steam injector with no artificial lift equipment installed or designed. No pump, gas lift, or ESP record in file set.</t>
  </si>
  <si>
    <t>Moderate concern. PBTD confirmed accessible at 420 ft as of Nov-2005. TDL fish found at 340 ft during spinner survey. CBL quality noted at 60% in program header. Full cement returns confirmed during initial cementing of both casing strings in Dec-1999. No casing or tubing leak documented. Dual barrier status unverified post-idle. Well has been idle for over 20 years with no documented surveillance.</t>
  </si>
  <si>
    <t>NA. No shutdown report or well status change document in file set. Well may have been suspended due to area-level steam flood operational changes or injection pattern adjustment. This is interpretation only, not supported by direct documentation.</t>
  </si>
  <si>
    <t>Steam Injector (Slim Hole, Single String). Designated as DSF Area 5 steam flood support well.</t>
  </si>
  <si>
    <t>Duri Field onshore, Riau Province, Indonesia. Field base at Balairaja, Jl. Raya Duri Km. 11, Pekanbaru. Established field with permanent road infrastructure and year-round access expected. No specific access restriction or seasonal limitation noted in documents.</t>
  </si>
  <si>
    <t>Steam injection line hookup confirmed at completion in June-July 2000. No producer flowline, separator, or processing facility assigned to this well. If converted to producer, a new flowline tie-in and separator allocation would be required. Current facility status post-2005 is unknown.</t>
  </si>
  <si>
    <t>Duri Field DSF Area 5 was drilled in December 1999 and completed exclusively as a shallow steam injector through the Rindu sand (291-352 ft), never operated as an oil producer, and the available documents contain no oil production history, no reservoir pressure data, no remaining reserve estimate, and no post-2005 surveillance or workover records. The last confirmed subsurface activity was a TPS Spinner survey in November 2005, which found the wellbore accessible to PBTD at 420 ft but identified a TDL fish at 340 ft still inside the 3.5-inch casing, with cement quality recorded at only 60% and dual barrier status unverified. With data completeness estimated at roughly 40-45% and 12 out of 15 screening parameters lacking sufficient evidence for confident scoring, this well cannot be ranked as a reactivation candidate until a site inspection, slickline fishing run, CBL confirmation, saturation log, and a producer conversion feasibility study are completed.</t>
  </si>
  <si>
    <t>DURI-05106</t>
  </si>
  <si>
    <t>Duri Steam Flood (DSF), Area 5</t>
  </si>
  <si>
    <t>Rindu (primary target), Pertama (secondary, below TD)</t>
  </si>
  <si>
    <t>Rindu formation. Perforations at 478-485 ft, 489-499 ft, 499-510 ft, 520-526 ft. Top 1st Rindu at 473 ft DD / -398 ft SS. Top 240 at 55 ft DD. No mud log found in provided files.</t>
  </si>
  <si>
    <t>Single string, 3.5" J55 EUE production casing to 610 ft. No liner. No packer documented. Steam injector completion (SH Injector). Perforated with 2 SPF, 71 total charges across four intervals.</t>
  </si>
  <si>
    <t>None installed. Tubing pump section on WSWO records is blank. Well completed as steam injector with no pump string.</t>
  </si>
  <si>
    <t>Moderate concern. Recurring sand fill bridging the perforation interval (478-526 ft). Last slickline Aug 2006 could not pass below 487 ft. No casing leak or tubing failure documented. No CBL or current integrity log in available files. Post-2006 status unknown.</t>
  </si>
  <si>
    <t>Recurring sand fill above and across the Rindu perforation interval. Aug 2006 slickline confirmed obstruction at 487 ft preventing access to bottom perforations at 526 ft. This is the last documented issue. No other stated shutdown reason found in available files.</t>
  </si>
  <si>
    <t>Steam Injector (SH INJECTOR), single string. Originally drilled as Rindu Injector. A producer conversion is implied by WSWO "PRODUCER WELL WORK REPORT" forms but the well was still classified SH INJECTOR in Sep 2006.</t>
  </si>
  <si>
    <t>Easy, year-round access. Duri Field Area 5, Riau, Sumatra. Established all-weather road network. Rig CPI-14 accessed the location in Jan 2000 with 18-hour MIRU and 1 km move distance. Multiple CTU and slickline units successfully accessed the well 2001-2006 without any noted logistics issue.</t>
  </si>
  <si>
    <t>Steam flood infrastructure in place. Duri Area 5 has active steam generation, injection, and production gathering systems. Pattern neighbors (8M-62A, 8M-43A, 8M-51A/B, 8M-71B/C) were active at last recorded date. Flow line and wellhead connection status post-2006 not confirmed in available files.</t>
  </si>
  <si>
    <t xml:space="preserve">DURI 8M-62B (#5106) is a shallow Rindu steam flood well in Duri Area 5, drilled and completed in January 2000 as a single-string steam injector (3.5" casing, TD 610 ft, perforations 478-526 ft), that is currently idle due to a recurring sand fill problem that has progressively blocked access below 484-493 ft across multiple intervention attempts between 2001 and 2006. The well has a technically simple and low-cost remediation path, specifically a CTU sand cleanout with polymer/foam, which was successfully executed at least twice before at a cost of roughly $8,000-$10,500 per job, placing it firmly in the lowest intervention cost bracket. However, the well carries significant data uncertainty because no production history, oil rate, water cut, pressure measurement, or integrity record exists beyond September 2006, and no artificial lift system is in place for the producer phase, making it a Medium Priority candidate that needs a current wellhead inspection, a slickline gauge run, and a full well file retrieval from the CPI/Chevron PAMS system before any reactivation decision can be made with confidence.
</t>
  </si>
  <si>
    <t>DURI-05160</t>
  </si>
  <si>
    <t>Duri Field, Area 5, DSF Pattern 6N-11B, Rindu injector.</t>
  </si>
  <si>
    <t>Rindu Sand. Drilling program lists Rindu Injector / single string, Top 240 SS 167 ft (-90), Top 1st Rindu 268 ft (-191), Top Pertama 437 ft (-360), logging program NONE.</t>
  </si>
  <si>
    <t>Perforated 282-307 ft, 51 holes at 2 spf; 311-347 ft, 73 holes; 356-365 ft, 19 holes; 381-387 ft, 13 holes. Total 156 holes. 2-1/8 in dyna strip, 21.6 gr HMX, 0-degree phasing, 0.45 in hole. Well history also lists these intervals in split lines. No mud log.</t>
  </si>
  <si>
    <t>Slim Hole Rindu Injector. Injection casing set about 417 ft; PBTD values shown as 396/406 ft in later cleanout recommendations.</t>
  </si>
  <si>
    <t>Moderate to poor. TOS too high and some intervals covered with sand; TOS 315 ft and 309 ft documented against PBTD 396/406. No casing leak/fish documented.</t>
  </si>
  <si>
    <t>Sand fill/TOS too high covering upper and middle Rindu intervals; cleanout to PBTD recommended.</t>
  </si>
  <si>
    <t>Good. Onshore Duri Area 5; CTU, slickline, and cleanout programs documented.</t>
  </si>
  <si>
    <t>Well 6N-11B #5160 in Duri Steam Flood Area 5 is a technically viable but data-deficient idle well candidate. The only documented wellbore problem is recurring sand fill, which has blocked access to PBTD at 396 ft since at least March 2011 when the last sinker bar tagged an obstruction at 320 ft. The well has no documented casing failure, tubing leak, cement failure, or fish-in-hole condition, and it has been successfully cleaned out multiple times using coiled tubing without complication. Intervention cost is very low given the shallow depth, rigless scope, and proven clean-out method. The critical constraint is that no production rate, water cut, reservoir pressure, remaining reserve, or PI data exists in the provided file set, which makes it impossible to build an economic case or confirm oil gain potential. The CBL file also carries a different well identifier (6N-11C rather than 6N-11B), which raises a data integrity question that must be resolved before any screening conclusion is finalized.</t>
  </si>
  <si>
    <t>DURI-05175</t>
  </si>
  <si>
    <t>Duri Steam Flood (DSF), Area 5, Grid 6M</t>
  </si>
  <si>
    <t>Rindu Formation — stated explicitly as "Rindu Injector" and "Rindu string injection" in all workover and drilling records</t>
  </si>
  <si>
    <t>Perforations: 300–307 ft, 311–327 ft, 328–337 ft, 341–358 ft (total 4 intervals, 300–358 ft range). Lithology from Daily Drilling Report: Sand and Shale. No formal mud log or lithology description attached. Formation name Rindu confirmed. TD 416 ft, PBTD 397 ft.</t>
  </si>
  <si>
    <t>Slim Hole (SH), 3.5" J-55 EUE injection casing cemented to TD 416 ft. Conductor 24" to 30 ft, Surface casing 7" to 240 ft, Production/injection string 3.5" to 416 ft. No tubing pump or rod pump installed — cemented completion. Designated completion type: IS1 (Injection, Slim Hole).</t>
  </si>
  <si>
    <t>None. No artificial lift installed or referenced in any record. Well is a cemented slim-hole steam injector with no pump, no rods, no ESP.</t>
  </si>
  <si>
    <t>CBL confirmed good bonding at completion (April 2000). No casing or tubing leak reported in any of 9+ intervention events (2000–2006). Primary recurring issue is sand fill covering perforations (sand bridging), not a structural failure. After Jan 2006 CTU cleanout, well confirmed clean to PBTD 397 ft. No integrity check recorded after Feb 2006. Well age ~26 years with continuous steam service creates uncertainty about current casing condition.</t>
  </si>
  <si>
    <t>Not explicitly documented as "shut down" or "idle" in any record. Last status: returned to injection Feb 2006. No abandonment, suspension, or shut-in record in the provided files. Historically, the only reason for temporary shut-in was sand fill over perforations, which was remediated by CTU cleanout each time.</t>
  </si>
  <si>
    <t>Steam Injector — Rindu formation, DSF Area 5. Well type IS1 (Injection, Slim Hole). Classified as a single injector for the Rindu steam flood pattern.</t>
  </si>
  <si>
    <t>Onshore, Duri field, Mandau, Riau. Land-based. Multiple truck-mounted units (CTU, slickline, mast truck, pump truck) accessed the location without difficulty noted in any record. Road transport confirmed with dozer support for CTU staging on one occasion (Jan 2006).</t>
  </si>
  <si>
    <t>Steam injection infrastructure confirmed in place: injection header (Rindu string), wellhead rated for steam service (WHP recorded 130–240 PSI range), 7" x 3.5" CPO (casing pack-off) installed. Wellhead installed 3.5" x 7" CPO at well completion. Steam injection line operational as of Feb 2006. No separator, flowline, or oil processing facility applicable — this is an injector.</t>
  </si>
  <si>
    <t>Well 6M-85B is a shallow slim-hole steam injector in the Rindu formation, DSF Area 5, Duri Field, completed in March 2000 at a total depth of 416 ft with four perforation intervals between 300 and 358 ft. The well has a solid integrity track record — CBL confirmed good bonding at initial completion, and no casing or tubing leak was ever reported across nine or more intervention events spanning 2000 to 2006. The only recurring mechanical issue is sand fill progressively covering the perforation intervals, which was remediated multiple times using low-cost slickline TOS checks and CTU cleanouts, with the last confirmed cleanout in January 2006 costing USD 9,000 and the well returned to injection service in February 2006. Beyond that date, no records exist in the provided file set, so the current well status — whether still injecting, suspended, or formally idle — cannot be confirmed. Because this is a cemented injection well with no production history, no artificial lift, and no oil rate or water cut data, it cannot be evaluated against producer-oriented screening parameters without additional data from the field operator covering post-2006 well status, current steam pattern performance, and Area 5 reservoir surveillance. The immediate recommended action is a slickline TOS check and wellhead inspection to confirm current accessibility and sand fill level, followed by a CTU cleanout if sand is present — a straightforward, low-cost intervention that could restore this injector to full steam compliance and contribute to pattern-level oil recovery in DSF Area 5</t>
  </si>
  <si>
    <t>DURI-05219</t>
  </si>
  <si>
    <t>Duri Steamflood Field, DSF Area 3</t>
  </si>
  <si>
    <t>BJD Sand (Bekasap Formation, Duri Steamflood pay zone)</t>
  </si>
  <si>
    <t>BJD Sand perforated at 4 intervals: 674-684 ft, 714-716 ft, 720-724 ft, 778-782 ft. Mud log from drilling report (CPI0846032) references SH/SD (shale/sand) formation drilled from surface to 850 ft TD. DLL-MSFL-GR log run 11 May 2000 used as correlation reference per CBL remarks</t>
  </si>
  <si>
    <t>Slim hole, single string. 3.5-inch, 9.3 lb/ft, J-55, EUE, R-2 tubing/casing to 850 ft. No liner. 7-inch, 20 lb/ft surface casing to 227 ft. 24-inch conductor to 30 ft. Perforated with BJD sand gun, 1 SPF, open hole type, across four intervals. Bull plug installed in tubing as documented in Oct 2007 TPS survey</t>
  </si>
  <si>
    <t>None. Steam injection well. No pump, rod string, or ESP on record</t>
  </si>
  <si>
    <t>Moderate concern. CBL confirmed cement from surface to TD at completion (May 2000). No casing leak or tubing leak reported in any intervention. Recurring sand fill with TOS at 698-701 ft on every job. Persistent mechanical restriction at 710 ft preventing 3.5-inch casing scrapper passage in Aug 2008 and Dec 2008, noted as same condition since at least Sept 2006. Nature of restriction (scale, hard pack, or casing deformation) unconfirmed. Last tool access to PBTD (812 ft) confirmed via CTU jetting nozzle in Dec 2008. No access below 699 ft via slickline as of Oct 2013</t>
  </si>
  <si>
    <t>Not explicitly stated in any document. The well was on injection as of Feb 2012. The Oct 2013 job was a spinner survey only with no workover. No shutdown order or suspension report is included in the dataset. Most probable contributing factor based on intervention history is the recurring sand fill and the unresolved mechanical restriction at 710 ft reducing confidence in full steam distribution to all four perforation intervals</t>
  </si>
  <si>
    <t>Steam Injector, Duri Steamflood pattern well, Area 3. Well type recorded as INJ-BJ (injection, Bekasap-BJD) in all drilling and completion records</t>
  </si>
  <si>
    <t>Easy, year-round ground access. Well is located on a prepared pad in Duri Steamflood Area 3, an onshore mature field. All interventions were performed with mast truck units and CTU rigs, confirming no logistical barrier. Duri Oil Field Support Base at Balairaja, Jl. Raya Duri Km. 11, Pekanbaru, is the operating base</t>
  </si>
  <si>
    <t>Steam injection surface facility in place. Steam header and injection line connected. Swab valve present and referenced for pre-job checks. Injection targets of 200-960 BSPD recorded across multiple jobs, confirming an active steam delivery system was available. Minor pre-job checks (swab valve, loc pad, steam header pressure) required before restart</t>
  </si>
  <si>
    <t xml:space="preserve">Duri 4R-65B #5219 is a slim-hole steam injector in Duri Steamflood Area 3, Riau, Indonesia, completed in 3.5-inch casing to 850 ft TD with four BJD sand perforation intervals between 674 and 782 ft. The well has a documented history of recurring sand fill above perforations, with the top of sand consistently found at 698-701 ft on every slickline and CTU job from 2006 through 2013, and a persistent mechanical restriction at approximately 710 ft that prevented the 3.5-inch casing scrapper from passing in every CTU job on record. Cement integrity was confirmed by CBL at completion in May 2000, and no tubing or casing leak has been reported in any intervention record. The last recorded operational data is from October 2013, when a spinner survey tagged at 699 ft with WHP at 138 PSI and BHT at 295 degF, and no current post-2013 status, oil production data, reservoir pressure, or reserve information exists in the provided dataset. The well scores favorably on intervention cost, accessibility, and facility readiness given Duri's mature infrastructure, but the overall assessment is limited to Medium priority because the fundamental question of whether this well contributes to oil gain, and what the remaining reserves look like in its drainage area, cannot be answered without a saturation log, reservoir pressure survey, and confirmation of the current idle status and the reason the well was shut in.
</t>
  </si>
  <si>
    <t>DURI-05227</t>
  </si>
  <si>
    <t>Duri Field, DSF (Duri Steam Flood), Area 3</t>
  </si>
  <si>
    <t>Baji/Jaga Sand, Duri Formation</t>
  </si>
  <si>
    <t>Perforated interval: 700 to 708 ft (9 holes, 1 spf, 2.125" dyna strip 21.6 gr HMX, 0 deg phasing). Open hole log (PEX/DLL-MSFL-GR-TEMP) run 15-May-2000 confirmed Top Oil at 298 ft, Lowest Oil at 790 ft. Baji sand tops estimated at ~670 ft DD / -606 ft SS</t>
  </si>
  <si>
    <t>Single string completion. 3.5" OD, 9.3 lb/ft, J55, EUE casing as production string to TD (850 ft). Perforated with dyna strip gun at 700 to 708 ft, 9 holes. Well initially classified as Single Injection per WSWO completion type field</t>
  </si>
  <si>
    <t>Not confirmed installed. All WSWO forms show blank entries for tubing pump serial number, pump size, and pump set depth. TPS (Temperature Pressure Spinner) production log was run Oct-2001, suggesting the well was being evaluated as a flowing or pumped producer at that time, but no pump installation record exists in the file set</t>
  </si>
  <si>
    <t>Moderate concern. PBTD accessible by slickline to 803-807 ft as of Jun-2009 (12 ft sand fill above PBTD 819 ft). CBL at initial completion (May-2000) showed good cement bonding in 3.5" casing surface to 814 ft. Critical finding: 3.5" casing had a corrosive 1" round hole at surface level, discovered Oct-2004, remediated by replacing casing pup joint and installing new wellhead (X-mas tree replaced, pressure tested OK). No integrity data post-2009</t>
  </si>
  <si>
    <t>Not explicitly documented in any file. Most probable cause based on intervention history is recurring sand fill bridging the production interval (sand tagged at 705 ft in Dec-2007, 803 ft in Jul-2008, 807 ft in Jun-2009 progressively filling up). Combined with no artificial lift confirmed, sand bridging likely restricted or stopped flow. Wellhead corrosion issue in 2004 was remediated and is not the primary shutdown cause</t>
  </si>
  <si>
    <t>Producer (single completion). Originally drilled and completed as a single injection well in the DSF Area 3 steam flood pattern. Well file report classifies it as a producer subject to well work operations</t>
  </si>
  <si>
    <t>Easy, year-round access. Duri Field onshore Riau Province, Sumatra. Full infrastructure in place including roads, utilities, and service company support. Grid coordinates: East 747,871.6 m, North 144,372.3 m (from offset 4R-68C drilling program at same location). Multiple slickline and CTU service companies mobilized routinely with no access difficulty noted in any job record</t>
  </si>
  <si>
    <t>Not confirmed from file set. Well is located in active Duri Area 3 DSF pattern with neighboring injector 4R-68C and references to offset wells 4R-68A and 4R-88C. Steam injection and production gathering infrastructure exists in the pattern, but specific flowline tie-in, separator allocation, and metering status for 4R-68B are not documented in any available file</t>
  </si>
  <si>
    <t xml:space="preserve"> 4R-68B (#5227), Duri Field Area 3, this well is a shallow Baji sand producer with a perforation interval at 700 to 708 ft and a confirmed PBTD at 819 ft, located in an active Duri Steam Flood (DSF) pattern. The last three slickline interventions (2007, 2008, 2009) consistently confirmed wellbore accessibility down to 803 to 807 ft with only minor sand fill above PBTD, and the CBL run at initial completion in May 2000 showed good cement bonding throughout the 3.5" production casing. The most significant integrity concern is a corrosive 1" round hole found on the 3.5" casing at surface level during a 2004 wellhead changeout, which was remediated at the time, but no post-repair casing inspection has been documented since. The well scores well on intervention cost (estimated below $0.5M for slickline or CTU cleanout), site accessibility (full Duri infrastructure in place), and workover complexity (likely slickline or CTU only), but it scores poorly on data completeness because no production rate, water cut, reservoir pressure, PI, or reserve data exists in the current file set, making 11 of the 15 screening parameters low-confidence provisional scores. The overall verdict is Medium Priority (Priority 2): the mechanical and logistical conditions are favorable for a low-cost reactivation attempt, but a firm go-ahead decision requires a fresh slickline run to confirm current sand fill, a tubing integrity pressure test, retrieval of production allocation and well test history from the company database, a reservoir pressure survey, and an RST or PNL to confirm remaining oil saturation in the Baji interval before any intervention commitment is made.</t>
  </si>
  <si>
    <t>DURI-05231</t>
  </si>
  <si>
    <t>Duri Steam Flood (DSF), Area 3</t>
  </si>
  <si>
    <t>Jaga (JG), Dalam (DL), Manggis (MN)</t>
  </si>
  <si>
    <t>JG: 652-662 ft (squeezed), 668-672 ft (squeezed per 2006 well sketch); DL: 693-697 ft, 701-702 ft, 710-720 ft, 750-754 ft, 760-766 ft; MN: 778-788 ft, 791-796 ft. Mud log GR correlation to offset 4R-85A (#1321). Top oil at 270 ft, lowest oil at 754 ft per open hole log run.</t>
  </si>
  <si>
    <t>Single string steam injector. Surface casing: 7", 20 lb/ft, K-55, LTC, R-3 to 173 ft. Injection casing: 3.5", 9.3 lb/ft, J-55, EUE, R-2 to 850 ft. No tubing string. Perforated with 2 SPF across multiple intervals. JG zone squeezed.</t>
  </si>
  <si>
    <t>None. Well is a steam injector. No pump or lift equipment installed or recorded.</t>
  </si>
  <si>
    <t>Compromised. Recurring sand fill to 646-653 ft. Casing scraper could not pass 652 ft in Sep 2006 CTU run, indicating casing restriction or deformation at top of JG perforation. Tubing patch recommended in 2008 but execution not confirmed. CBL run in June 2000 at TD 812 ft, fluid level at 67 ft at that time, current cement and casing condition unverified.</t>
  </si>
  <si>
    <t>Steam chest maturity in Jaga sand. JG interval had high steam conformance (92% steam entry to JG per 25-Feb-2002 spinner survey). JG steam chest confirmed by TDT from offset 4R-84C. Well assigned zero target with recommendation to redirect steam to cold DL interval. Combined with recurring sand fill and mechanical restriction, the well was shut-in December 2007.</t>
  </si>
  <si>
    <t>Steam Injector, SOR (Steam-Over-Producer) pattern. Well type: INJ-BJ (Injection-Before Jaga). Drill no. 5231, Grid 4R-85C, Area 3 DSF.</t>
  </si>
  <si>
    <t>Good year-round access. Duri Field is a large, mature, onshore steam flood in Riau Province, Sumatra, operated by PT CPI with full road infrastructure, service base, and logistics support. No access restriction documented.</t>
  </si>
  <si>
    <t>Steam injection distribution lines, gathering system, separator, and production handling infrastructure present in Area 3 as part of active Duri steam flood operations. Wing valve and wellhead installed, repositioned in June 2007. Steam line tie-in point exists. No dedicated producer facility documented for this well given injector classification.</t>
  </si>
  <si>
    <t>the well is a shallow steam injector drilled in May 2000 to 850 ft TD in the Duri Field Area 3, targeting Jaga, Dalam, and Manggis sands in an SOR pattern, and has been shut-in since December 2007 with zero production target. The primary technical issue driving its idle status is a recurring sand fill at 646-653 ft that repeatedly returned after CTU clean-out operations in 2006 and 2007, combined with a casing scraper that could not pass 652 ft, indicating a persistent mechanical restriction at the top of the Jaga perforation interval. A 2008 recommendation proposed isolating the mature Jaga sand using a CTU-deployed tubing patch and redirecting steam to the Dalam interval, which was described as still cold and therefore potentially holding unswept oil, but there is no confirmation in the provided files that this job was ever executed. The well carries a moderate reactivation score of 45 out of 75, with the strongest upside being a relatively low estimated intervention cost below $500K USD, established Duri field surface infrastructure, and the cold Dalam and Manggis sands as a plausible production target, but a final commitment cannot be made without obtaining production history, running an RST or PNL for current saturation confirmation, and verifying current wellhead and casing integrity after more than 18 years of shut-in.</t>
  </si>
  <si>
    <t>Tier Definitions and Program KPIs</t>
  </si>
  <si>
    <t>Tier thresholds applied to Weighted Score in Master sheet. KPIs guide program governance.</t>
  </si>
  <si>
    <t>Label</t>
  </si>
  <si>
    <t>Score Range</t>
  </si>
  <si>
    <t>Typical Operations</t>
  </si>
  <si>
    <t>Characteristics</t>
  </si>
  <si>
    <t>Tier 1</t>
  </si>
  <si>
    <t>Low Hanging Fruit (Quick Win)</t>
  </si>
  <si>
    <t>≥ 75</t>
  </si>
  <si>
    <t>Surface remediation. Tubing minor leak repair. Pump replacement (SRP/ESP). Light scale or paraffin cleanout. Flowline blockage or valve issue.</t>
  </si>
  <si>
    <t>Low cost, low risk, fast payout. First priority in any reactivation campaign.</t>
  </si>
  <si>
    <t>Tier 2</t>
  </si>
  <si>
    <t>Medium Complexity</t>
  </si>
  <si>
    <t>55 to 74</t>
  </si>
  <si>
    <t>Well reentry via slickline, wireline, or coiled tubing. Reperforating. Acidizing. Sand cleanout. PLT survey and selective recompletion. Light water shutoff.</t>
  </si>
  <si>
    <t>Engineering intervention required. Economically sound at base case oil price.</t>
  </si>
  <si>
    <t>Tier 3</t>
  </si>
  <si>
    <t>High Complexity / Deferred</t>
  </si>
  <si>
    <t>35 to 54</t>
  </si>
  <si>
    <t>Sidetrack or wellbore deepening. Casing patch or repair. Severe water coning remediation. Large ESP replacement. Major stimulation. Dual completion with HWOU or rig.</t>
  </si>
  <si>
    <t>High CAPEX, high risk. Executed last, after Tier 1 and 2 validate the economics. Some may be deferred to abandonment study.</t>
  </si>
  <si>
    <t>Excluded</t>
  </si>
  <si>
    <t>HSE / Integrity / Facility Knockout</t>
  </si>
  <si>
    <t>Any</t>
  </si>
  <si>
    <t>No intervention until knockout resolved. HSE site assessment, integrity remediation, or facility debottleneck mandatory first.</t>
  </si>
  <si>
    <t>Hard exclusion. Cannot enter Tier 1 or 2 regardless of score.</t>
  </si>
  <si>
    <t>Defer</t>
  </si>
  <si>
    <t>Sub-economic</t>
  </si>
  <si>
    <t>&lt; 35</t>
  </si>
  <si>
    <t>Move to abandonment screening. Re-evaluate only if oil price scenario or facility availability changes materially.</t>
  </si>
  <si>
    <t>Capital should not be allocated. Risk of stranded investment.</t>
  </si>
  <si>
    <t>Scoring Rubric (1 = Worst, 5 = Best)</t>
  </si>
  <si>
    <t>Use these anchors to score each well on each parameter in the Master Database sheet.</t>
  </si>
  <si>
    <t>#</t>
  </si>
  <si>
    <t>Parameter</t>
  </si>
  <si>
    <t>1 Poor</t>
  </si>
  <si>
    <t>2 Weak</t>
  </si>
  <si>
    <t>3 Moderate</t>
  </si>
  <si>
    <t>4 Good</t>
  </si>
  <si>
    <t>5 Excellent</t>
  </si>
  <si>
    <t>1 — Poor / Knockout</t>
  </si>
  <si>
    <t>2 — Weak</t>
  </si>
  <si>
    <t>3 — Moderate</t>
  </si>
  <si>
    <t>4 — Good</t>
  </si>
  <si>
    <t>5 — Excellent</t>
  </si>
  <si>
    <t>Expected oil gain (BOPD)</t>
  </si>
  <si>
    <t>&lt; 10 BOPD</t>
  </si>
  <si>
    <t>10 to 30 BOPD</t>
  </si>
  <si>
    <t>30 to 70 BOPD</t>
  </si>
  <si>
    <t>70 to 150 BOPD</t>
  </si>
  <si>
    <t>&gt; 150 BOPD</t>
  </si>
  <si>
    <t>Remaining reserve (Mbbl)</t>
  </si>
  <si>
    <t>&lt; 50 Mbbl</t>
  </si>
  <si>
    <t>50 to 150 Mbbl</t>
  </si>
  <si>
    <t>150 to 300 Mbbl</t>
  </si>
  <si>
    <t>300 to 600 Mbbl</t>
  </si>
  <si>
    <t>&gt; 600 Mbbl</t>
  </si>
  <si>
    <t>Reservoir pressure</t>
  </si>
  <si>
    <t>&lt; 30% of original (severely depleted)</t>
  </si>
  <si>
    <t>30 to 40% of original</t>
  </si>
  <si>
    <t>40 to 50% of original</t>
  </si>
  <si>
    <t>50 to 60% of original</t>
  </si>
  <si>
    <t>&gt; 60% of original</t>
  </si>
  <si>
    <t>Water cut (%)</t>
  </si>
  <si>
    <t>&gt; 95% WC</t>
  </si>
  <si>
    <t>95 to 90% WC</t>
  </si>
  <si>
    <t>85 to 90% WC</t>
  </si>
  <si>
    <t>80 to 85% WC</t>
  </si>
  <si>
    <t>&lt; 80% WC</t>
  </si>
  <si>
    <t>Integrity risk</t>
  </si>
  <si>
    <t>Severe casing or cement failure — KNOCKOUT</t>
  </si>
  <si>
    <t>Multiple integrity flags, major workover needed</t>
  </si>
  <si>
    <t>One significant issue, repairable</t>
  </si>
  <si>
    <t>Minor leaks, easy to address</t>
  </si>
  <si>
    <t>Verified sound, dual barrier compliant</t>
  </si>
  <si>
    <t>Intervention cost (USD)</t>
  </si>
  <si>
    <t>&gt; 3 MM USD</t>
  </si>
  <si>
    <t>2 to 3 MM USD</t>
  </si>
  <si>
    <t>1 to 2 MM USD</t>
  </si>
  <si>
    <t>0.5 to 1 MM USD</t>
  </si>
  <si>
    <t>&lt; 0.5 MM USD</t>
  </si>
  <si>
    <t>Accessibility</t>
  </si>
  <si>
    <t>Inaccessible or fully seasonal</t>
  </si>
  <si>
    <t>Difficult, requires staging</t>
  </si>
  <si>
    <t>Seasonal limits, plan around</t>
  </si>
  <si>
    <t>Good access, minor logistics</t>
  </si>
  <si>
    <t>Easy year-round access</t>
  </si>
  <si>
    <t>Workover complexity</t>
  </si>
  <si>
    <t>Major rig with sidetrack or casing repair</t>
  </si>
  <si>
    <t>Full workover rig required</t>
  </si>
  <si>
    <t>include open / closed perforation</t>
  </si>
  <si>
    <t>Slickline or wireline only</t>
  </si>
  <si>
    <t>Surface only, no wellbore entry</t>
  </si>
  <si>
    <t>HWOU or coiled tubing intervention</t>
  </si>
  <si>
    <t>PI (current vs original)</t>
  </si>
  <si>
    <t>&lt; 10% of original PI</t>
  </si>
  <si>
    <t>10 to 25% of original PI</t>
  </si>
  <si>
    <t>25 to 50% of original PI</t>
  </si>
  <si>
    <t>50 to 75% of original PI</t>
  </si>
  <si>
    <t>&gt; 75% of original PI</t>
  </si>
  <si>
    <t>Data completeness</t>
  </si>
  <si>
    <t>&lt; 40% complete, no recent surveys</t>
  </si>
  <si>
    <t>40 to 60% complete</t>
  </si>
  <si>
    <t>60 to 80% complete</t>
  </si>
  <si>
    <t>80 to 95% complete</t>
  </si>
  <si>
    <t>&gt; 95% complete, recent downhole data</t>
  </si>
  <si>
    <t>Artificial lift readiness</t>
  </si>
  <si>
    <t>No lift, none feasible</t>
  </si>
  <si>
    <t>Lift needed, design pending</t>
  </si>
  <si>
    <t>Lift design ready, hardware to procure</t>
  </si>
  <si>
    <t>Lift hardware available, install ready</t>
  </si>
  <si>
    <t>Existing lift functional or minor repair</t>
  </si>
  <si>
    <t>Compartmentalization risk</t>
  </si>
  <si>
    <t>Behind-pipe zone unconfirmed, high risk</t>
  </si>
  <si>
    <t>Limited offset data, uncertain</t>
  </si>
  <si>
    <t>Indirect evidence of bypass</t>
  </si>
  <si>
    <t>Offset wells confirm zone, moderate confidence</t>
  </si>
  <si>
    <t>RST or PNL confirms residual oil, high confidence</t>
  </si>
  <si>
    <t>Screening Parameter Weights</t>
  </si>
  <si>
    <t>Adjust the Weight % column. The total must equal 100%. Master scoring sheet uses these live.</t>
  </si>
  <si>
    <t>Dimension</t>
  </si>
  <si>
    <t>Doc Weight</t>
  </si>
  <si>
    <t>Weight %</t>
  </si>
  <si>
    <t>Knockout</t>
  </si>
  <si>
    <t>Rationale</t>
  </si>
  <si>
    <t>Reservoir Component</t>
  </si>
  <si>
    <t>Wellbore Integrity Component</t>
  </si>
  <si>
    <t>Expected oil gain (BOPD incremental)</t>
  </si>
  <si>
    <t>Economics</t>
  </si>
  <si>
    <t>Very High</t>
  </si>
  <si>
    <t>Real measurable barrels per day expected after intervention. Primary value driver.</t>
  </si>
  <si>
    <t>Remaining reserve</t>
  </si>
  <si>
    <t>Subsurface &amp; Reservoir</t>
  </si>
  <si>
    <t>High</t>
  </si>
  <si>
    <t>Movable oil volume from material balance and decline curve fit. Mandatory input, not optional.</t>
  </si>
  <si>
    <t>Current vs original. Drives natural flow potential and stimulation need.</t>
  </si>
  <si>
    <t>Water cut</t>
  </si>
  <si>
    <t>High WC drives lifting and disposal cost. Above 95% is marginally economic in most cases.</t>
  </si>
  <si>
    <t>Integrity risk (casing, tubing, cement)</t>
  </si>
  <si>
    <t>Well Integrity</t>
  </si>
  <si>
    <t>Yes</t>
  </si>
  <si>
    <t xml:space="preserve">Casing corrosion, SCP, cement integrity. Critical for aged wellse, casing collaps, tubing parted, fish left in hole. </t>
  </si>
  <si>
    <t>Intervention cost</t>
  </si>
  <si>
    <t>Full workover cost estimate. Drives cost per added barrel and payout.</t>
  </si>
  <si>
    <t>Operational Risk</t>
  </si>
  <si>
    <t>Medium</t>
  </si>
  <si>
    <t>Access road condition, seasonal constraints, location remoteness.</t>
  </si>
  <si>
    <t>Rigless vs slickline vs coiled tubing vs full rig. Drives schedule and exposure.</t>
  </si>
  <si>
    <t>PI (Productivity Index)</t>
  </si>
  <si>
    <t>Supplementary</t>
  </si>
  <si>
    <t>Current PI vs original. Indicator of skin damage and inflow performance.</t>
  </si>
  <si>
    <t>Below 80% reduces confidence in the screening outcome. Drives probability of success.</t>
  </si>
  <si>
    <t>Existing ESP, SRP, gas lift condition or readiness for installation.</t>
  </si>
  <si>
    <t>Reservoir compartmentalization risk</t>
  </si>
  <si>
    <t>Behind-pipe zone potential. Higher score where RST or PNL confirms residual oil.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</si>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</sst>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
  </numFmts>
  <fonts count="53">
    <font>
      <sz val="11"/>
      <color theme="1"/>
      <name val="Calibri"/>
      <family val="2"/>
      <scheme val="minor"/>
    </font>
    <font>
      <sz val="10"/>
      <name val="Calibri"/>
      <family val="2"/>
    </font>
    <font>
      <b/>
      <sz val="10"/>
      <name val="Calibri"/>
      <family val="2"/>
    </font>
    <font>
      <b/>
      <sz val="10"/>
      <color rgb="FFFF0000"/>
      <name val="Calibri"/>
      <family val="2"/>
    </font>
    <font>
      <b/>
      <sz val="11"/>
      <color rgb="FFFFFFFF"/>
      <name val="Calibri"/>
      <family val="2"/>
    </font>
    <font>
      <sz val="9"/>
      <name val="Calibri"/>
      <family val="2"/>
      <charset val="1"/>
    </font>
    <font>
      <sz val="8.5"/>
      <name val="Times New Roman"/>
      <family val="1"/>
    </font>
    <font>
      <b/>
      <sz val="8.5"/>
      <name val="Times New Roman"/>
      <family val="1"/>
    </font>
    <font>
      <b/>
      <sz val="8.5"/>
      <color rgb="FF000000"/>
      <name val="Times New Roman"/>
      <family val="1"/>
    </font>
    <font>
      <sz val="8.5"/>
      <color rgb="FF000000"/>
      <name val="Times New Roman"/>
      <family val="1"/>
    </font>
    <font>
      <b/>
      <sz val="11"/>
      <color rgb="FFFFFFFF"/>
      <name val="Calibri"/>
      <family val="2"/>
      <charset val="1"/>
    </font>
    <font>
      <sz val="11"/>
      <color theme="1"/>
      <name val="Calibri"/>
      <family val="2"/>
      <charset val="1"/>
    </font>
    <font>
      <sz val="9"/>
      <color theme="1"/>
      <name val="Calibri"/>
      <family val="2"/>
      <charset val="1"/>
    </font>
    <font>
      <b/>
      <sz val="20"/>
      <color rgb="FFC00000"/>
      <name val="Calibri"/>
      <family val="2"/>
      <charset val="1"/>
    </font>
    <font>
      <i/>
      <sz val="10"/>
      <color rgb="FF7A7974"/>
      <name val="Calibri"/>
      <family val="2"/>
      <charset val="1"/>
    </font>
    <font>
      <b/>
      <sz val="9"/>
      <color theme="1"/>
      <name val="Calibri"/>
      <family val="2"/>
      <charset val="1"/>
    </font>
    <font>
      <b/>
      <sz val="11"/>
      <name val="Calibri"/>
      <family val="2"/>
      <charset val="1"/>
    </font>
    <font>
      <b/>
      <sz val="11"/>
      <color theme="1"/>
      <name val="Calibri"/>
      <family val="2"/>
      <charset val="1"/>
    </font>
    <font>
      <b/>
      <sz val="10"/>
      <color rgb="FFFFFFFF"/>
      <name val="Calibri"/>
      <family val="2"/>
      <charset val="1"/>
    </font>
    <font>
      <b/>
      <sz val="10"/>
      <name val="Calibri"/>
      <family val="2"/>
      <charset val="1"/>
    </font>
    <font>
      <b/>
      <sz val="11"/>
      <color rgb="FF1B474D"/>
      <name val="Calibri"/>
      <family val="2"/>
      <charset val="1"/>
    </font>
    <font>
      <sz val="10"/>
      <color rgb="FF28251D"/>
      <name val="Calibri"/>
      <family val="2"/>
      <charset val="1"/>
    </font>
    <font>
      <sz val="10"/>
      <color rgb="FF000000"/>
      <name val="Arial"/>
      <family val="2"/>
    </font>
    <font>
      <sz val="8"/>
      <name val="Calibri"/>
      <family val="2"/>
    </font>
    <font>
      <sz val="10"/>
      <color theme="1"/>
      <name val="Calibri"/>
      <family val="2"/>
      <charset val="1"/>
    </font>
    <font>
      <sz val="11"/>
      <color rgb="FFFF0000"/>
      <name val="Calibri"/>
      <family val="2"/>
      <charset val="1"/>
    </font>
    <font>
      <sz val="10"/>
      <name val="Arial"/>
      <family val="2"/>
    </font>
    <font>
      <sz val="10"/>
      <name val="Calibri"/>
      <family val="2"/>
      <charset val="1"/>
    </font>
    <font>
      <sz val="11"/>
      <name val="Calibri"/>
      <family val="2"/>
      <charset val="1"/>
    </font>
    <font>
      <vertAlign val="superscript"/>
      <sz val="8.5"/>
      <color rgb="FF000000"/>
      <name val="Times New Roman"/>
      <family val="1"/>
    </font>
    <font>
      <b/>
      <sz val="20"/>
      <color rgb="FF1B474D"/>
      <name val="Calibri"/>
      <family val="2"/>
    </font>
    <font>
      <i/>
      <sz val="10"/>
      <color rgb="FF7A7974"/>
      <name val="Calibri"/>
      <family val="2"/>
    </font>
    <font>
      <b/>
      <sz val="8"/>
      <color theme="1"/>
      <name val="Calibri"/>
      <family val="2"/>
      <charset val="1"/>
    </font>
    <font>
      <b/>
      <sz val="10"/>
      <color rgb="FF1B474D"/>
      <name val="Calibri"/>
      <family val="2"/>
    </font>
    <font>
      <b/>
      <sz val="11"/>
      <color rgb="FF1B474D"/>
      <name val="Calibri"/>
      <family val="2"/>
    </font>
    <font>
      <b/>
      <sz val="9"/>
      <color rgb="FFFF0000"/>
      <name val="Calibri"/>
      <family val="2"/>
    </font>
    <font>
      <b/>
      <sz val="10"/>
      <color rgb="FF28251D"/>
      <name val="Calibri"/>
      <family val="2"/>
    </font>
    <font>
      <sz val="9"/>
      <color rgb="FF28251D"/>
      <name val="Calibri"/>
      <family val="2"/>
    </font>
    <font>
      <sz val="9"/>
      <color rgb="FFFF0000"/>
      <name val="Calibri"/>
      <family val="2"/>
    </font>
    <font>
      <b/>
      <sz val="11"/>
      <color rgb="FFFFFFFF"/>
      <name val="Cambria"/>
      <family val="1"/>
    </font>
    <font>
      <b/>
      <sz val="11"/>
      <color rgb="FF28251D"/>
      <name val="Cambria"/>
      <family val="1"/>
    </font>
    <font>
      <sz val="11"/>
      <color theme="1"/>
      <name val="Calibri"/>
      <family val="2"/>
    </font>
    <font>
      <sz val="11"/>
      <color rgb="FF28251D"/>
      <name val="Calibri"/>
      <family val="2"/>
    </font>
    <font>
      <b/>
      <sz val="11"/>
      <color rgb="FFA13544"/>
      <name val="Calibri"/>
      <family val="2"/>
    </font>
    <font>
      <sz val="10"/>
      <color rgb="FF28251D"/>
      <name val="Arial"/>
      <family val="2"/>
    </font>
    <font>
      <b/>
      <sz val="10"/>
      <color rgb="FFFFFFFF"/>
      <name val="Arial"/>
      <family val="2"/>
    </font>
    <font>
      <b/>
      <sz val="10"/>
      <color rgb="FF28251D"/>
      <name val="Arial"/>
      <family val="2"/>
    </font>
    <font>
      <sz val="9"/>
      <color rgb="FF000000"/>
      <name val="Calibri"/>
    </font>
    <font>
      <sz val="8.5"/>
      <color rgb="FF000000"/>
      <name val="Times New Roman"/>
    </font>
    <font>
      <sz val="8"/>
      <color rgb="FF000000"/>
      <name val="Calibri"/>
    </font>
    <font>
      <b/>
      <sz val="8"/>
      <color rgb="FFFF0000"/>
      <name val="Calibri"/>
    </font>
    <font>
      <sz val="8"/>
      <name val="Calibri"/>
    </font>
    <font>
      <sz val="11"/>
      <color theme="1"/>
      <name val="Calibri"/>
      <charset val="1"/>
    </font>
  </fonts>
  <fills count="33">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20808D"/>
        <bgColor rgb="FF008080"/>
      </patternFill>
    </fill>
    <fill>
      <patternFill patternType="solid">
        <fgColor theme="2"/>
        <bgColor indexed="64"/>
      </patternFill>
    </fill>
    <fill>
      <patternFill patternType="solid">
        <fgColor theme="2" tint="-9.9978637043366805E-2"/>
        <bgColor rgb="FF008080"/>
      </patternFill>
    </fill>
    <fill>
      <patternFill patternType="solid">
        <fgColor theme="5"/>
        <bgColor rgb="FF28251D"/>
      </patternFill>
    </fill>
    <fill>
      <patternFill patternType="solid">
        <fgColor theme="7" tint="0.79998168889431442"/>
        <bgColor rgb="FF008080"/>
      </patternFill>
    </fill>
    <fill>
      <patternFill patternType="solid">
        <fgColor theme="5" tint="0.79998168889431442"/>
        <bgColor rgb="FF944454"/>
      </patternFill>
    </fill>
    <fill>
      <patternFill patternType="solid">
        <fgColor theme="2"/>
        <bgColor rgb="FFA13544"/>
      </patternFill>
    </fill>
    <fill>
      <patternFill patternType="solid">
        <fgColor rgb="FFFFFF00"/>
        <bgColor rgb="FFA13544"/>
      </patternFill>
    </fill>
    <fill>
      <patternFill patternType="solid">
        <fgColor theme="2" tint="-9.9978637043366805E-2"/>
        <bgColor rgb="FF28251D"/>
      </patternFill>
    </fill>
    <fill>
      <patternFill patternType="solid">
        <fgColor theme="7" tint="0.79998168889431442"/>
        <bgColor rgb="FF28251D"/>
      </patternFill>
    </fill>
    <fill>
      <patternFill patternType="solid">
        <fgColor theme="3" tint="0.39997558519241921"/>
        <bgColor rgb="FF28251D"/>
      </patternFill>
    </fill>
    <fill>
      <patternFill patternType="solid">
        <fgColor rgb="FFFF0000"/>
        <bgColor indexed="64"/>
      </patternFill>
    </fill>
    <fill>
      <patternFill patternType="solid">
        <fgColor rgb="FF1B474D"/>
        <bgColor rgb="FF28251D"/>
      </patternFill>
    </fill>
    <fill>
      <patternFill patternType="solid">
        <fgColor theme="7"/>
        <bgColor rgb="FF28251D"/>
      </patternFill>
    </fill>
    <fill>
      <patternFill patternType="solid">
        <fgColor theme="1"/>
        <bgColor rgb="FF28251D"/>
      </patternFill>
    </fill>
    <fill>
      <patternFill patternType="solid">
        <fgColor theme="6" tint="0.59999389629810485"/>
        <bgColor indexed="64"/>
      </patternFill>
    </fill>
    <fill>
      <patternFill patternType="solid">
        <fgColor theme="9" tint="0.59999389629810485"/>
        <bgColor indexed="64"/>
      </patternFill>
    </fill>
    <fill>
      <patternFill patternType="solid">
        <fgColor rgb="FFF4F1EA"/>
        <bgColor rgb="FFFFFFFF"/>
      </patternFill>
    </fill>
    <fill>
      <patternFill patternType="solid">
        <fgColor theme="6" tint="0.59999389629810485"/>
        <bgColor rgb="FFFFFFFF"/>
      </patternFill>
    </fill>
    <fill>
      <patternFill patternType="solid">
        <fgColor rgb="FFBCE2E7"/>
        <bgColor rgb="FFD4D1CA"/>
      </patternFill>
    </fill>
    <fill>
      <patternFill patternType="solid">
        <fgColor theme="1"/>
        <bgColor rgb="FFFFFFFF"/>
      </patternFill>
    </fill>
    <fill>
      <patternFill patternType="solid">
        <fgColor theme="9" tint="0.59999389629810485"/>
        <bgColor rgb="FFFFFFFF"/>
      </patternFill>
    </fill>
    <fill>
      <patternFill patternType="solid">
        <fgColor rgb="FF437A22"/>
        <bgColor rgb="FF008000"/>
      </patternFill>
    </fill>
    <fill>
      <patternFill patternType="solid">
        <fgColor rgb="FFFFC553"/>
        <bgColor rgb="FFFFCC00"/>
      </patternFill>
    </fill>
    <fill>
      <patternFill patternType="solid">
        <fgColor rgb="FFC16E1E"/>
        <bgColor rgb="FFA84B2F"/>
      </patternFill>
    </fill>
    <fill>
      <patternFill patternType="solid">
        <fgColor rgb="FFA13544"/>
        <bgColor rgb="FF944454"/>
      </patternFill>
    </fill>
    <fill>
      <patternFill patternType="solid">
        <fgColor rgb="FF7A7974"/>
        <bgColor rgb="FF848456"/>
      </patternFill>
    </fill>
    <fill>
      <patternFill patternType="solid">
        <fgColor rgb="FF7FA84B"/>
        <bgColor rgb="FF848456"/>
      </patternFill>
    </fill>
    <fill>
      <patternFill patternType="solid">
        <fgColor rgb="FFC00000"/>
        <bgColor rgb="FF28251D"/>
      </patternFill>
    </fill>
  </fills>
  <borders count="51">
    <border>
      <left/>
      <right/>
      <top/>
      <bottom/>
      <diagonal/>
    </border>
    <border>
      <left style="thin">
        <color rgb="FFBFBFBF"/>
      </left>
      <right style="thin">
        <color rgb="FFBFBFBF"/>
      </right>
      <top style="thin">
        <color rgb="FFBFBFBF"/>
      </top>
      <bottom style="thin">
        <color rgb="FFBFBFBF"/>
      </bottom>
      <diagonal/>
    </border>
    <border>
      <left style="thin">
        <color rgb="FF8EAADB"/>
      </left>
      <right style="thin">
        <color rgb="FF8EAADB"/>
      </right>
      <top style="thin">
        <color rgb="FF8EAADB"/>
      </top>
      <bottom style="thin">
        <color rgb="FF8EAADB"/>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8EAADB"/>
      </left>
      <right style="thin">
        <color rgb="FF8EAADB"/>
      </right>
      <top/>
      <bottom style="thin">
        <color rgb="FF8EAADB"/>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rgb="FF000000"/>
      </left>
      <right style="medium">
        <color rgb="FF000000"/>
      </right>
      <top/>
      <bottom style="medium">
        <color rgb="FF000000"/>
      </bottom>
      <diagonal/>
    </border>
    <border>
      <left/>
      <right style="thin">
        <color rgb="FFD4D1CA"/>
      </right>
      <top style="thin">
        <color rgb="FFD4D1CA"/>
      </top>
      <bottom style="thin">
        <color rgb="FFD4D1CA"/>
      </bottom>
      <diagonal/>
    </border>
    <border>
      <left style="thin">
        <color rgb="FFD4D1CA"/>
      </left>
      <right style="thin">
        <color rgb="FFD4D1CA"/>
      </right>
      <top style="thin">
        <color rgb="FFD4D1CA"/>
      </top>
      <bottom style="thin">
        <color rgb="FFD4D1CA"/>
      </bottom>
      <diagonal/>
    </border>
    <border>
      <left style="medium">
        <color rgb="FF000000"/>
      </left>
      <right style="medium">
        <color rgb="FF000000"/>
      </right>
      <top style="medium">
        <color rgb="FF000000"/>
      </top>
      <bottom style="medium">
        <color rgb="FF000000"/>
      </bottom>
      <diagonal/>
    </border>
    <border>
      <left style="thin">
        <color rgb="FFB4B4B4"/>
      </left>
      <right style="thin">
        <color rgb="FFB4B4B4"/>
      </right>
      <top style="thin">
        <color rgb="FFB4B4B4"/>
      </top>
      <bottom style="thin">
        <color rgb="FFB4B4B4"/>
      </bottom>
      <diagonal/>
    </border>
    <border>
      <left style="thin">
        <color indexed="64"/>
      </left>
      <right style="thin">
        <color indexed="64"/>
      </right>
      <top/>
      <bottom style="thin">
        <color indexed="64"/>
      </bottom>
      <diagonal/>
    </border>
    <border>
      <left/>
      <right style="thin">
        <color rgb="FFD4D1CA"/>
      </right>
      <top/>
      <bottom style="thin">
        <color rgb="FFD4D1CA"/>
      </bottom>
      <diagonal/>
    </border>
    <border>
      <left style="thin">
        <color rgb="FFD4D1CA"/>
      </left>
      <right style="thin">
        <color rgb="FFD4D1CA"/>
      </right>
      <top/>
      <bottom style="thin">
        <color rgb="FFD4D1CA"/>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thin">
        <color rgb="FFD4D1CA"/>
      </left>
      <right style="thin">
        <color rgb="FFD4D1CA"/>
      </right>
      <top style="medium">
        <color rgb="FF1B474D"/>
      </top>
      <bottom style="medium">
        <color rgb="FF1B474D"/>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D4D1CA"/>
      </left>
      <right/>
      <top style="medium">
        <color rgb="FF1B474D"/>
      </top>
      <bottom style="medium">
        <color rgb="FF1B474D"/>
      </bottom>
      <diagonal/>
    </border>
  </borders>
  <cellStyleXfs count="3">
    <xf numFmtId="0" fontId="0" fillId="0" borderId="0"/>
    <xf numFmtId="0" fontId="11" fillId="0" borderId="0"/>
    <xf numFmtId="9" fontId="11" fillId="0" borderId="0" applyFont="0" applyFill="0" applyBorder="0" applyAlignment="0" applyProtection="0"/>
  </cellStyleXfs>
  <cellXfs count="205">
    <xf numFmtId="0" fontId="0" fillId="0" borderId="0" xfId="0"/>
    <xf numFmtId="0" fontId="1" fillId="0" borderId="1" xfId="0" applyFont="1" applyBorder="1" applyAlignment="1">
      <alignment horizontal="center" vertical="center" wrapText="1"/>
    </xf>
    <xf numFmtId="0" fontId="12" fillId="0" borderId="0" xfId="1" applyFont="1" applyAlignment="1">
      <alignment horizontal="center"/>
    </xf>
    <xf numFmtId="0" fontId="11" fillId="0" borderId="0" xfId="1"/>
    <xf numFmtId="0" fontId="11" fillId="0" borderId="0" xfId="1" applyAlignment="1">
      <alignment horizontal="center"/>
    </xf>
    <xf numFmtId="0" fontId="19" fillId="12" borderId="18" xfId="1" applyFont="1" applyFill="1" applyBorder="1" applyAlignment="1">
      <alignment horizontal="center" vertical="center" wrapText="1"/>
    </xf>
    <xf numFmtId="0" fontId="9" fillId="0" borderId="20" xfId="1" applyFont="1" applyBorder="1" applyAlignment="1">
      <alignment horizontal="center" vertical="center" wrapText="1"/>
    </xf>
    <xf numFmtId="165" fontId="20" fillId="0" borderId="4" xfId="1" applyNumberFormat="1" applyFont="1" applyBorder="1" applyAlignment="1">
      <alignment horizontal="center" vertical="center" wrapText="1"/>
    </xf>
    <xf numFmtId="0" fontId="21" fillId="0" borderId="21" xfId="1" applyFont="1" applyBorder="1" applyAlignment="1">
      <alignment horizontal="center" vertical="center" wrapText="1"/>
    </xf>
    <xf numFmtId="0" fontId="21" fillId="0" borderId="22" xfId="1" applyFont="1" applyBorder="1" applyAlignment="1">
      <alignment horizontal="center" vertical="center" wrapText="1"/>
    </xf>
    <xf numFmtId="0" fontId="22" fillId="0" borderId="23" xfId="1" applyFont="1" applyBorder="1" applyAlignment="1">
      <alignment horizontal="center" vertical="center" wrapText="1"/>
    </xf>
    <xf numFmtId="0" fontId="9" fillId="0" borderId="23" xfId="1" applyFont="1" applyBorder="1" applyAlignment="1">
      <alignment horizontal="center" vertical="center" wrapText="1"/>
    </xf>
    <xf numFmtId="0" fontId="26" fillId="0" borderId="23" xfId="1" applyFont="1" applyBorder="1" applyAlignment="1">
      <alignment horizontal="center" vertical="center" wrapText="1"/>
    </xf>
    <xf numFmtId="165" fontId="16" fillId="0" borderId="4" xfId="1" applyNumberFormat="1" applyFont="1" applyBorder="1" applyAlignment="1">
      <alignment horizontal="center" vertical="center" wrapText="1"/>
    </xf>
    <xf numFmtId="0" fontId="27" fillId="0" borderId="21" xfId="1" applyFont="1" applyBorder="1" applyAlignment="1">
      <alignment horizontal="center" vertical="center" wrapText="1"/>
    </xf>
    <xf numFmtId="0" fontId="27" fillId="0" borderId="22" xfId="1" applyFont="1" applyBorder="1" applyAlignment="1">
      <alignment horizontal="center" vertical="center" wrapText="1"/>
    </xf>
    <xf numFmtId="0" fontId="28" fillId="0" borderId="0" xfId="1" applyFont="1"/>
    <xf numFmtId="0" fontId="11" fillId="0" borderId="0" xfId="1" applyAlignment="1">
      <alignment horizontal="left"/>
    </xf>
    <xf numFmtId="0" fontId="11" fillId="0" borderId="0" xfId="1" applyAlignment="1">
      <alignment horizontal="center" vertical="center"/>
    </xf>
    <xf numFmtId="0" fontId="11" fillId="0" borderId="0" xfId="1" applyAlignment="1">
      <alignment horizontal="left" vertical="center"/>
    </xf>
    <xf numFmtId="0" fontId="5" fillId="0" borderId="5" xfId="1" applyFont="1" applyBorder="1" applyAlignment="1">
      <alignment horizontal="center" vertical="center" wrapText="1"/>
    </xf>
    <xf numFmtId="0" fontId="5" fillId="0" borderId="2" xfId="1" applyFont="1" applyBorder="1" applyAlignment="1">
      <alignment horizontal="center" vertical="center" wrapText="1"/>
    </xf>
    <xf numFmtId="0" fontId="5" fillId="0" borderId="2" xfId="1" applyFont="1" applyBorder="1" applyAlignment="1">
      <alignment horizontal="left" vertical="top" wrapText="1"/>
    </xf>
    <xf numFmtId="1" fontId="5" fillId="0" borderId="5" xfId="1" applyNumberFormat="1" applyFont="1" applyBorder="1" applyAlignment="1">
      <alignment horizontal="center" vertical="center" wrapText="1"/>
    </xf>
    <xf numFmtId="2" fontId="5" fillId="0" borderId="5" xfId="1" applyNumberFormat="1" applyFont="1" applyBorder="1" applyAlignment="1">
      <alignment horizontal="center" vertical="center" wrapText="1"/>
    </xf>
    <xf numFmtId="0" fontId="5" fillId="0" borderId="2" xfId="1" applyFont="1" applyBorder="1" applyAlignment="1">
      <alignment horizontal="left" vertical="center" wrapText="1"/>
    </xf>
    <xf numFmtId="2" fontId="5" fillId="0" borderId="2" xfId="1" applyNumberFormat="1" applyFont="1" applyBorder="1" applyAlignment="1">
      <alignment horizontal="center" vertical="center" wrapText="1"/>
    </xf>
    <xf numFmtId="0" fontId="21" fillId="0" borderId="22" xfId="1" applyFont="1" applyBorder="1" applyAlignment="1">
      <alignment horizontal="left" vertical="center" wrapText="1"/>
    </xf>
    <xf numFmtId="0" fontId="23" fillId="0" borderId="2" xfId="1" applyFont="1" applyBorder="1" applyAlignment="1">
      <alignment horizontal="left" vertical="top" wrapText="1"/>
    </xf>
    <xf numFmtId="165" fontId="5" fillId="0" borderId="2" xfId="1" applyNumberFormat="1" applyFont="1" applyBorder="1" applyAlignment="1">
      <alignment horizontal="left" vertical="top" wrapText="1"/>
    </xf>
    <xf numFmtId="0" fontId="5" fillId="0" borderId="5" xfId="1" applyFont="1" applyBorder="1" applyAlignment="1">
      <alignment horizontal="center" vertical="top" wrapText="1"/>
    </xf>
    <xf numFmtId="0" fontId="5" fillId="0" borderId="2" xfId="1" applyFont="1" applyBorder="1" applyAlignment="1">
      <alignment horizontal="center" vertical="top" wrapText="1"/>
    </xf>
    <xf numFmtId="0" fontId="27" fillId="0" borderId="22" xfId="1" applyFont="1" applyBorder="1" applyAlignment="1">
      <alignment horizontal="left" vertical="center" wrapText="1"/>
    </xf>
    <xf numFmtId="164" fontId="5" fillId="0" borderId="2" xfId="1" applyNumberFormat="1" applyFont="1" applyBorder="1" applyAlignment="1">
      <alignment horizontal="left" vertical="top" wrapText="1"/>
    </xf>
    <xf numFmtId="0" fontId="21" fillId="0" borderId="22" xfId="1" applyFont="1" applyBorder="1" applyAlignment="1">
      <alignment vertical="center" wrapText="1"/>
    </xf>
    <xf numFmtId="0" fontId="19" fillId="12" borderId="17" xfId="1" applyFont="1" applyFill="1" applyBorder="1" applyAlignment="1">
      <alignment horizontal="center" vertical="center" wrapText="1"/>
    </xf>
    <xf numFmtId="0" fontId="18" fillId="14" borderId="17" xfId="1" applyFont="1" applyFill="1" applyBorder="1" applyAlignment="1">
      <alignment horizontal="center" vertical="center" wrapText="1"/>
    </xf>
    <xf numFmtId="0" fontId="18" fillId="15" borderId="19" xfId="1" applyFont="1" applyFill="1" applyBorder="1" applyAlignment="1">
      <alignment horizontal="center" vertical="center" wrapText="1"/>
    </xf>
    <xf numFmtId="0" fontId="18" fillId="16" borderId="17" xfId="1" applyFont="1" applyFill="1" applyBorder="1" applyAlignment="1">
      <alignment horizontal="center" vertical="center" wrapText="1"/>
    </xf>
    <xf numFmtId="0" fontId="18" fillId="15" borderId="17" xfId="1" applyFont="1" applyFill="1" applyBorder="1" applyAlignment="1">
      <alignment horizontal="center" vertical="center" wrapText="1"/>
    </xf>
    <xf numFmtId="0" fontId="18" fillId="16" borderId="18" xfId="1" applyFont="1" applyFill="1" applyBorder="1" applyAlignment="1">
      <alignment horizontal="center" vertical="center" wrapText="1"/>
    </xf>
    <xf numFmtId="0" fontId="5" fillId="0" borderId="2" xfId="1" applyFont="1" applyBorder="1" applyAlignment="1">
      <alignment vertical="top" wrapText="1"/>
    </xf>
    <xf numFmtId="0" fontId="1" fillId="0" borderId="0" xfId="0" applyFont="1" applyAlignment="1">
      <alignment horizontal="center" vertical="center" wrapText="1"/>
    </xf>
    <xf numFmtId="0" fontId="18" fillId="14" borderId="16" xfId="1" applyFont="1" applyFill="1" applyBorder="1" applyAlignment="1">
      <alignment horizontal="center" vertical="center" wrapText="1"/>
    </xf>
    <xf numFmtId="0" fontId="23" fillId="0" borderId="2" xfId="1" applyFont="1" applyBorder="1" applyAlignment="1">
      <alignment vertical="top" wrapText="1"/>
    </xf>
    <xf numFmtId="0" fontId="4" fillId="16" borderId="36" xfId="1" applyFont="1" applyFill="1" applyBorder="1" applyAlignment="1">
      <alignment horizontal="center" vertical="center" wrapText="1"/>
    </xf>
    <xf numFmtId="9" fontId="11" fillId="0" borderId="0" xfId="1" applyNumberFormat="1"/>
    <xf numFmtId="9" fontId="0" fillId="0" borderId="0" xfId="2" applyFont="1"/>
    <xf numFmtId="166" fontId="4" fillId="16" borderId="22" xfId="1" applyNumberFormat="1" applyFont="1" applyFill="1" applyBorder="1" applyAlignment="1">
      <alignment horizontal="center" vertical="center" wrapText="1"/>
    </xf>
    <xf numFmtId="0" fontId="11" fillId="19" borderId="37" xfId="1" applyFill="1" applyBorder="1" applyAlignment="1">
      <alignment horizontal="center" vertical="center"/>
    </xf>
    <xf numFmtId="0" fontId="11" fillId="20" borderId="38" xfId="1" applyFill="1" applyBorder="1" applyAlignment="1">
      <alignment horizontal="center" vertical="center"/>
    </xf>
    <xf numFmtId="166" fontId="11" fillId="19" borderId="39" xfId="1" applyNumberFormat="1" applyFill="1" applyBorder="1" applyAlignment="1">
      <alignment horizontal="center" vertical="center"/>
    </xf>
    <xf numFmtId="166" fontId="11" fillId="20" borderId="20" xfId="1" applyNumberFormat="1" applyFill="1" applyBorder="1" applyAlignment="1">
      <alignment horizontal="center" vertical="center"/>
    </xf>
    <xf numFmtId="0" fontId="34" fillId="0" borderId="0" xfId="1" applyFont="1" applyAlignment="1">
      <alignment horizontal="center" vertical="center"/>
    </xf>
    <xf numFmtId="0" fontId="2" fillId="21" borderId="22" xfId="1" applyFont="1" applyFill="1" applyBorder="1" applyAlignment="1">
      <alignment horizontal="center" vertical="center" wrapText="1"/>
    </xf>
    <xf numFmtId="0" fontId="2" fillId="21" borderId="22" xfId="1" applyFont="1" applyFill="1" applyBorder="1" applyAlignment="1">
      <alignment horizontal="left" vertical="center" wrapText="1"/>
    </xf>
    <xf numFmtId="0" fontId="3" fillId="21" borderId="22" xfId="1" applyFont="1" applyFill="1" applyBorder="1" applyAlignment="1">
      <alignment horizontal="center" vertical="center" wrapText="1"/>
    </xf>
    <xf numFmtId="0" fontId="3" fillId="21" borderId="22" xfId="1" applyFont="1" applyFill="1" applyBorder="1" applyAlignment="1">
      <alignment horizontal="left" vertical="center" wrapText="1"/>
    </xf>
    <xf numFmtId="0" fontId="35" fillId="21" borderId="22" xfId="1" applyFont="1" applyFill="1" applyBorder="1" applyAlignment="1">
      <alignment horizontal="left" vertical="center" wrapText="1"/>
    </xf>
    <xf numFmtId="0" fontId="2" fillId="0" borderId="22" xfId="1" applyFont="1" applyBorder="1" applyAlignment="1">
      <alignment horizontal="center" vertical="center" wrapText="1"/>
    </xf>
    <xf numFmtId="0" fontId="2" fillId="0" borderId="22" xfId="1" applyFont="1" applyBorder="1" applyAlignment="1">
      <alignment horizontal="left" vertical="center" wrapText="1"/>
    </xf>
    <xf numFmtId="0" fontId="33" fillId="0" borderId="22" xfId="1" applyFont="1" applyBorder="1" applyAlignment="1">
      <alignment horizontal="center" vertical="center" wrapText="1"/>
    </xf>
    <xf numFmtId="0" fontId="36" fillId="0" borderId="22" xfId="1" applyFont="1" applyBorder="1" applyAlignment="1">
      <alignment horizontal="left" vertical="center" wrapText="1"/>
    </xf>
    <xf numFmtId="0" fontId="37" fillId="0" borderId="22" xfId="1" applyFont="1" applyBorder="1" applyAlignment="1">
      <alignment horizontal="left" vertical="center" wrapText="1"/>
    </xf>
    <xf numFmtId="0" fontId="36" fillId="21" borderId="22" xfId="1" applyFont="1" applyFill="1" applyBorder="1" applyAlignment="1">
      <alignment horizontal="left" vertical="center" wrapText="1"/>
    </xf>
    <xf numFmtId="0" fontId="37" fillId="21" borderId="22" xfId="1" applyFont="1" applyFill="1" applyBorder="1" applyAlignment="1">
      <alignment horizontal="left" vertical="center" wrapText="1"/>
    </xf>
    <xf numFmtId="0" fontId="3" fillId="0" borderId="22" xfId="1" applyFont="1" applyBorder="1" applyAlignment="1">
      <alignment horizontal="left" vertical="center" wrapText="1"/>
    </xf>
    <xf numFmtId="0" fontId="38" fillId="0" borderId="22" xfId="1" applyFont="1" applyBorder="1" applyAlignment="1">
      <alignment horizontal="left" vertical="center" wrapText="1"/>
    </xf>
    <xf numFmtId="0" fontId="33" fillId="21" borderId="22" xfId="1" applyFont="1" applyFill="1" applyBorder="1" applyAlignment="1">
      <alignment horizontal="center" vertical="center" wrapText="1"/>
    </xf>
    <xf numFmtId="0" fontId="38" fillId="21" borderId="22" xfId="1" applyFont="1" applyFill="1" applyBorder="1" applyAlignment="1">
      <alignment horizontal="left" vertical="center" wrapText="1"/>
    </xf>
    <xf numFmtId="14" fontId="5" fillId="0" borderId="5" xfId="1" applyNumberFormat="1" applyFont="1" applyBorder="1" applyAlignment="1">
      <alignment horizontal="center" vertical="center" wrapText="1"/>
    </xf>
    <xf numFmtId="0" fontId="18" fillId="17" borderId="44" xfId="1" applyFont="1" applyFill="1" applyBorder="1" applyAlignment="1">
      <alignment horizontal="center" vertical="center" wrapText="1"/>
    </xf>
    <xf numFmtId="0" fontId="18" fillId="17" borderId="45" xfId="1" applyFont="1" applyFill="1" applyBorder="1" applyAlignment="1">
      <alignment horizontal="center" vertical="center" wrapText="1"/>
    </xf>
    <xf numFmtId="0" fontId="18" fillId="17" borderId="46" xfId="1" applyFont="1" applyFill="1" applyBorder="1" applyAlignment="1">
      <alignment horizontal="center" vertical="center" wrapText="1"/>
    </xf>
    <xf numFmtId="0" fontId="32" fillId="9" borderId="47" xfId="1" applyFont="1" applyFill="1" applyBorder="1" applyAlignment="1">
      <alignment horizontal="center" vertical="center" wrapText="1"/>
    </xf>
    <xf numFmtId="0" fontId="32" fillId="9" borderId="48" xfId="1" applyFont="1" applyFill="1" applyBorder="1" applyAlignment="1">
      <alignment horizontal="center" vertical="center" wrapText="1"/>
    </xf>
    <xf numFmtId="0" fontId="32" fillId="9" borderId="49" xfId="1" applyFont="1" applyFill="1" applyBorder="1" applyAlignment="1">
      <alignment horizontal="center" vertical="center" wrapText="1"/>
    </xf>
    <xf numFmtId="0" fontId="4" fillId="32" borderId="36" xfId="1" applyFont="1" applyFill="1" applyBorder="1" applyAlignment="1">
      <alignment horizontal="center" vertical="center" wrapText="1"/>
    </xf>
    <xf numFmtId="0" fontId="42" fillId="0" borderId="22" xfId="1" applyFont="1" applyBorder="1" applyAlignment="1">
      <alignment horizontal="center" vertical="center" wrapText="1"/>
    </xf>
    <xf numFmtId="166" fontId="34" fillId="23" borderId="22" xfId="1" applyNumberFormat="1" applyFont="1" applyFill="1" applyBorder="1" applyAlignment="1">
      <alignment horizontal="center" vertical="center" wrapText="1"/>
    </xf>
    <xf numFmtId="0" fontId="42" fillId="3" borderId="22" xfId="1" applyFont="1" applyFill="1" applyBorder="1" applyAlignment="1">
      <alignment horizontal="center" vertical="center" wrapText="1"/>
    </xf>
    <xf numFmtId="0" fontId="42" fillId="21" borderId="22" xfId="1" applyFont="1" applyFill="1" applyBorder="1" applyAlignment="1">
      <alignment horizontal="center" vertical="center" wrapText="1"/>
    </xf>
    <xf numFmtId="0" fontId="42" fillId="24" borderId="22" xfId="1" applyFont="1" applyFill="1" applyBorder="1" applyAlignment="1">
      <alignment horizontal="center" vertical="center" wrapText="1"/>
    </xf>
    <xf numFmtId="0" fontId="43" fillId="3" borderId="22" xfId="1" applyFont="1" applyFill="1" applyBorder="1" applyAlignment="1">
      <alignment horizontal="center" vertical="center" wrapText="1"/>
    </xf>
    <xf numFmtId="0" fontId="41" fillId="16" borderId="22" xfId="1" applyFont="1" applyFill="1" applyBorder="1"/>
    <xf numFmtId="0" fontId="42" fillId="22" borderId="22" xfId="1" applyFont="1" applyFill="1" applyBorder="1" applyAlignment="1">
      <alignment horizontal="center" vertical="center" wrapText="1"/>
    </xf>
    <xf numFmtId="0" fontId="42" fillId="19" borderId="22" xfId="1" applyFont="1" applyFill="1" applyBorder="1" applyAlignment="1">
      <alignment horizontal="center" vertical="center" wrapText="1"/>
    </xf>
    <xf numFmtId="0" fontId="42" fillId="20" borderId="22" xfId="1" applyFont="1" applyFill="1" applyBorder="1" applyAlignment="1">
      <alignment horizontal="center" vertical="center" wrapText="1"/>
    </xf>
    <xf numFmtId="0" fontId="41" fillId="0" borderId="22" xfId="1" applyFont="1" applyBorder="1" applyAlignment="1">
      <alignment horizontal="center" vertical="center" wrapText="1"/>
    </xf>
    <xf numFmtId="0" fontId="42" fillId="25" borderId="22" xfId="1" applyFont="1" applyFill="1" applyBorder="1" applyAlignment="1">
      <alignment horizontal="center" vertical="center" wrapText="1"/>
    </xf>
    <xf numFmtId="0" fontId="42" fillId="2" borderId="22" xfId="1" applyFont="1" applyFill="1" applyBorder="1" applyAlignment="1">
      <alignment horizontal="center" vertical="center" wrapText="1"/>
    </xf>
    <xf numFmtId="0" fontId="4" fillId="16" borderId="22" xfId="1" applyFont="1" applyFill="1" applyBorder="1" applyAlignment="1">
      <alignment horizontal="center" vertical="center" wrapText="1"/>
    </xf>
    <xf numFmtId="0" fontId="41" fillId="16" borderId="22" xfId="1" applyFont="1" applyFill="1" applyBorder="1" applyAlignment="1">
      <alignment horizontal="center"/>
    </xf>
    <xf numFmtId="0" fontId="41" fillId="18" borderId="22" xfId="1" applyFont="1" applyFill="1" applyBorder="1" applyAlignment="1">
      <alignment horizontal="center"/>
    </xf>
    <xf numFmtId="0" fontId="44" fillId="21" borderId="22" xfId="1" applyFont="1" applyFill="1" applyBorder="1" applyAlignment="1">
      <alignment horizontal="center" vertical="center" wrapText="1"/>
    </xf>
    <xf numFmtId="0" fontId="44" fillId="21" borderId="22" xfId="1" applyFont="1" applyFill="1" applyBorder="1" applyAlignment="1">
      <alignment horizontal="left" vertical="center" wrapText="1"/>
    </xf>
    <xf numFmtId="0" fontId="44" fillId="0" borderId="22" xfId="1" applyFont="1" applyBorder="1" applyAlignment="1">
      <alignment horizontal="center" vertical="center" wrapText="1"/>
    </xf>
    <xf numFmtId="0" fontId="44" fillId="0" borderId="22" xfId="1" applyFont="1" applyBorder="1" applyAlignment="1">
      <alignment horizontal="left" vertical="center" wrapText="1"/>
    </xf>
    <xf numFmtId="0" fontId="45" fillId="32" borderId="36" xfId="1" applyFont="1" applyFill="1" applyBorder="1" applyAlignment="1">
      <alignment horizontal="center" vertical="center" wrapText="1"/>
    </xf>
    <xf numFmtId="0" fontId="45" fillId="26" borderId="22" xfId="1" applyFont="1" applyFill="1" applyBorder="1" applyAlignment="1">
      <alignment horizontal="center" vertical="center" wrapText="1"/>
    </xf>
    <xf numFmtId="0" fontId="46" fillId="27" borderId="22" xfId="1" applyFont="1" applyFill="1" applyBorder="1" applyAlignment="1">
      <alignment horizontal="center" vertical="center" wrapText="1"/>
    </xf>
    <xf numFmtId="0" fontId="45" fillId="28" borderId="22" xfId="1" applyFont="1" applyFill="1" applyBorder="1" applyAlignment="1">
      <alignment horizontal="center" vertical="center" wrapText="1"/>
    </xf>
    <xf numFmtId="0" fontId="45" fillId="29" borderId="22" xfId="1" applyFont="1" applyFill="1" applyBorder="1" applyAlignment="1">
      <alignment horizontal="center" vertical="center" wrapText="1"/>
    </xf>
    <xf numFmtId="0" fontId="45" fillId="30" borderId="22" xfId="1" applyFont="1" applyFill="1" applyBorder="1" applyAlignment="1">
      <alignment horizontal="center" vertical="center" wrapText="1"/>
    </xf>
    <xf numFmtId="0" fontId="1" fillId="0" borderId="22" xfId="1" applyFont="1" applyBorder="1" applyAlignment="1">
      <alignment horizontal="left" vertical="center" wrapText="1"/>
    </xf>
    <xf numFmtId="0" fontId="1" fillId="21" borderId="22" xfId="1" applyFont="1" applyFill="1" applyBorder="1" applyAlignment="1">
      <alignment horizontal="left" vertical="center" wrapText="1"/>
    </xf>
    <xf numFmtId="0" fontId="4" fillId="32" borderId="50" xfId="1" applyFont="1" applyFill="1" applyBorder="1" applyAlignment="1">
      <alignment horizontal="center" vertical="center" wrapText="1"/>
    </xf>
    <xf numFmtId="0" fontId="39" fillId="29" borderId="41" xfId="1" applyFont="1" applyFill="1" applyBorder="1" applyAlignment="1">
      <alignment horizontal="center" vertical="center" wrapText="1"/>
    </xf>
    <xf numFmtId="0" fontId="40" fillId="28" borderId="41" xfId="1" applyFont="1" applyFill="1" applyBorder="1" applyAlignment="1">
      <alignment horizontal="center" vertical="center" wrapText="1"/>
    </xf>
    <xf numFmtId="0" fontId="40" fillId="27" borderId="41" xfId="1" applyFont="1" applyFill="1" applyBorder="1" applyAlignment="1">
      <alignment horizontal="center" vertical="center" wrapText="1"/>
    </xf>
    <xf numFmtId="0" fontId="39" fillId="31" borderId="41" xfId="1" applyFont="1" applyFill="1" applyBorder="1" applyAlignment="1">
      <alignment horizontal="center" vertical="center" wrapText="1"/>
    </xf>
    <xf numFmtId="0" fontId="39" fillId="26" borderId="41" xfId="1" applyFont="1" applyFill="1" applyBorder="1" applyAlignment="1">
      <alignment horizontal="center" vertical="center" wrapText="1"/>
    </xf>
    <xf numFmtId="0" fontId="5" fillId="0" borderId="5" xfId="1" applyFont="1" applyBorder="1" applyAlignment="1">
      <alignment vertical="top" wrapText="1"/>
    </xf>
    <xf numFmtId="0" fontId="5" fillId="0" borderId="5" xfId="1" applyFont="1" applyBorder="1" applyAlignment="1">
      <alignment horizontal="left" vertical="top" wrapText="1"/>
    </xf>
    <xf numFmtId="165" fontId="20" fillId="0" borderId="25" xfId="1" applyNumberFormat="1" applyFont="1" applyBorder="1" applyAlignment="1">
      <alignment horizontal="center" vertical="center" wrapText="1"/>
    </xf>
    <xf numFmtId="0" fontId="21" fillId="0" borderId="26" xfId="1" applyFont="1" applyBorder="1" applyAlignment="1">
      <alignment horizontal="center" vertical="center" wrapText="1"/>
    </xf>
    <xf numFmtId="0" fontId="21" fillId="0" borderId="27" xfId="1" applyFont="1" applyBorder="1" applyAlignment="1">
      <alignment horizontal="center" vertical="center" wrapText="1"/>
    </xf>
    <xf numFmtId="0" fontId="23" fillId="0" borderId="5" xfId="1" applyFont="1" applyBorder="1" applyAlignment="1">
      <alignment horizontal="left" vertical="top" wrapText="1"/>
    </xf>
    <xf numFmtId="165" fontId="11" fillId="0" borderId="0" xfId="1" applyNumberFormat="1"/>
    <xf numFmtId="0" fontId="52" fillId="0" borderId="0" xfId="1" applyFont="1"/>
    <xf numFmtId="0" fontId="51" fillId="0" borderId="2" xfId="1" applyFont="1" applyBorder="1" applyAlignment="1">
      <alignment horizontal="left" vertical="top" wrapText="1"/>
    </xf>
    <xf numFmtId="0" fontId="47" fillId="0" borderId="2" xfId="1" applyFont="1" applyBorder="1" applyAlignment="1">
      <alignment horizontal="left" vertical="top" wrapText="1"/>
    </xf>
    <xf numFmtId="3" fontId="5" fillId="0" borderId="2" xfId="1" applyNumberFormat="1" applyFont="1" applyBorder="1" applyAlignment="1">
      <alignment horizontal="left" vertical="top" wrapText="1"/>
    </xf>
    <xf numFmtId="0" fontId="12" fillId="0" borderId="2" xfId="1" applyFont="1" applyBorder="1" applyAlignment="1">
      <alignment horizontal="center" vertical="center" wrapText="1"/>
    </xf>
    <xf numFmtId="0" fontId="12" fillId="0" borderId="2" xfId="1" applyFont="1" applyBorder="1" applyAlignment="1">
      <alignment vertical="top" wrapText="1"/>
    </xf>
    <xf numFmtId="2" fontId="12" fillId="0" borderId="2" xfId="1" applyNumberFormat="1" applyFont="1" applyBorder="1" applyAlignment="1">
      <alignment horizontal="center" vertical="center" wrapText="1"/>
    </xf>
    <xf numFmtId="0" fontId="12" fillId="0" borderId="2" xfId="1" applyFont="1" applyBorder="1" applyAlignment="1">
      <alignment horizontal="left" vertical="top" wrapText="1"/>
    </xf>
    <xf numFmtId="0" fontId="24" fillId="0" borderId="22" xfId="1" applyFont="1" applyBorder="1" applyAlignment="1">
      <alignment horizontal="left" vertical="center" wrapText="1"/>
    </xf>
    <xf numFmtId="0" fontId="5" fillId="0" borderId="2" xfId="1" applyFont="1" applyBorder="1" applyAlignment="1">
      <alignment vertical="center" wrapText="1"/>
    </xf>
    <xf numFmtId="0" fontId="5" fillId="0" borderId="24" xfId="1" applyFont="1" applyBorder="1" applyAlignment="1">
      <alignment horizontal="center" vertical="center" wrapText="1"/>
    </xf>
    <xf numFmtId="0" fontId="23" fillId="0" borderId="2" xfId="1" applyFont="1" applyBorder="1" applyAlignment="1">
      <alignment horizontal="center" vertical="center" wrapText="1"/>
    </xf>
    <xf numFmtId="0" fontId="25" fillId="0" borderId="0" xfId="1" applyFont="1"/>
    <xf numFmtId="165" fontId="17" fillId="0" borderId="4" xfId="1" applyNumberFormat="1" applyFont="1" applyBorder="1" applyAlignment="1">
      <alignment horizontal="center" vertical="center" wrapText="1"/>
    </xf>
    <xf numFmtId="0" fontId="24" fillId="0" borderId="21" xfId="1" applyFont="1" applyBorder="1" applyAlignment="1">
      <alignment horizontal="center" vertical="center" wrapText="1"/>
    </xf>
    <xf numFmtId="0" fontId="24" fillId="0" borderId="22" xfId="1" applyFont="1" applyBorder="1" applyAlignment="1">
      <alignment horizontal="center" vertical="center" wrapText="1"/>
    </xf>
    <xf numFmtId="0" fontId="15" fillId="5" borderId="6" xfId="1" applyFont="1" applyFill="1" applyBorder="1" applyAlignment="1">
      <alignment horizontal="center" vertical="center" wrapText="1"/>
    </xf>
    <xf numFmtId="0" fontId="18" fillId="14" borderId="4" xfId="1" applyFont="1" applyFill="1" applyBorder="1" applyAlignment="1">
      <alignment horizontal="center" vertical="center" wrapText="1"/>
    </xf>
    <xf numFmtId="0" fontId="18" fillId="14" borderId="17" xfId="1" applyFont="1" applyFill="1" applyBorder="1" applyAlignment="1">
      <alignment horizontal="center" vertical="center" wrapText="1"/>
    </xf>
    <xf numFmtId="0" fontId="18" fillId="7" borderId="7" xfId="1" applyFont="1" applyFill="1" applyBorder="1" applyAlignment="1">
      <alignment horizontal="center" vertical="center" wrapText="1"/>
    </xf>
    <xf numFmtId="0" fontId="18" fillId="7" borderId="16" xfId="1" applyFont="1" applyFill="1" applyBorder="1" applyAlignment="1">
      <alignment horizontal="center" vertical="center" wrapText="1"/>
    </xf>
    <xf numFmtId="0" fontId="18" fillId="7" borderId="4" xfId="1" applyFont="1" applyFill="1" applyBorder="1" applyAlignment="1">
      <alignment horizontal="center" vertical="center" wrapText="1"/>
    </xf>
    <xf numFmtId="0" fontId="18" fillId="7" borderId="17" xfId="1" applyFont="1" applyFill="1" applyBorder="1" applyAlignment="1">
      <alignment horizontal="center" vertical="center" wrapText="1"/>
    </xf>
    <xf numFmtId="0" fontId="19" fillId="12" borderId="14" xfId="1" applyFont="1" applyFill="1" applyBorder="1" applyAlignment="1">
      <alignment horizontal="center" vertical="center" wrapText="1"/>
    </xf>
    <xf numFmtId="0" fontId="19" fillId="12" borderId="19" xfId="1" applyFont="1" applyFill="1" applyBorder="1" applyAlignment="1">
      <alignment horizontal="center" vertical="center" wrapText="1"/>
    </xf>
    <xf numFmtId="0" fontId="16" fillId="6" borderId="4" xfId="1" applyFont="1" applyFill="1" applyBorder="1" applyAlignment="1">
      <alignment horizontal="center" vertical="center" wrapText="1"/>
    </xf>
    <xf numFmtId="0" fontId="16" fillId="6" borderId="15" xfId="1" applyFont="1" applyFill="1" applyBorder="1" applyAlignment="1">
      <alignment horizontal="center" vertical="center" wrapText="1"/>
    </xf>
    <xf numFmtId="0" fontId="19" fillId="12" borderId="4" xfId="1" applyFont="1" applyFill="1" applyBorder="1" applyAlignment="1">
      <alignment horizontal="center" vertical="center" wrapText="1"/>
    </xf>
    <xf numFmtId="0" fontId="19" fillId="12" borderId="17" xfId="1" applyFont="1" applyFill="1" applyBorder="1" applyAlignment="1">
      <alignment horizontal="center" vertical="center" wrapText="1"/>
    </xf>
    <xf numFmtId="0" fontId="18" fillId="14" borderId="6" xfId="1" applyFont="1" applyFill="1" applyBorder="1" applyAlignment="1">
      <alignment horizontal="center" vertical="center" wrapText="1"/>
    </xf>
    <xf numFmtId="0" fontId="18" fillId="14" borderId="7" xfId="1" applyFont="1" applyFill="1" applyBorder="1" applyAlignment="1">
      <alignment horizontal="center" vertical="center" wrapText="1"/>
    </xf>
    <xf numFmtId="0" fontId="13" fillId="0" borderId="0" xfId="1" applyFont="1" applyAlignment="1">
      <alignment horizontal="left" vertical="center" wrapText="1"/>
    </xf>
    <xf numFmtId="0" fontId="14" fillId="0" borderId="0" xfId="1" applyFont="1" applyAlignment="1">
      <alignment horizontal="left" vertical="center" wrapText="1"/>
    </xf>
    <xf numFmtId="0" fontId="18" fillId="14" borderId="14" xfId="1" applyFont="1" applyFill="1" applyBorder="1" applyAlignment="1">
      <alignment horizontal="center" vertical="center" wrapText="1"/>
    </xf>
    <xf numFmtId="0" fontId="18" fillId="14" borderId="19" xfId="1" applyFont="1" applyFill="1" applyBorder="1" applyAlignment="1">
      <alignment horizontal="center" vertical="center" wrapText="1"/>
    </xf>
    <xf numFmtId="0" fontId="18" fillId="14" borderId="40" xfId="1" applyFont="1" applyFill="1" applyBorder="1" applyAlignment="1">
      <alignment horizontal="center" vertical="center" wrapText="1"/>
    </xf>
    <xf numFmtId="0" fontId="10" fillId="14" borderId="10" xfId="1" applyFont="1" applyFill="1" applyBorder="1" applyAlignment="1">
      <alignment horizontal="center" vertical="center" wrapText="1"/>
    </xf>
    <xf numFmtId="0" fontId="10" fillId="14" borderId="11" xfId="1" applyFont="1" applyFill="1" applyBorder="1" applyAlignment="1">
      <alignment horizontal="center" vertical="center" wrapText="1"/>
    </xf>
    <xf numFmtId="0" fontId="10" fillId="14" borderId="30" xfId="1" applyFont="1" applyFill="1" applyBorder="1" applyAlignment="1">
      <alignment horizontal="center" vertical="center" wrapText="1"/>
    </xf>
    <xf numFmtId="0" fontId="10" fillId="14" borderId="31" xfId="1" applyFont="1" applyFill="1" applyBorder="1" applyAlignment="1">
      <alignment horizontal="center" vertical="center" wrapText="1"/>
    </xf>
    <xf numFmtId="0" fontId="16" fillId="6" borderId="8" xfId="1" applyFont="1" applyFill="1" applyBorder="1" applyAlignment="1">
      <alignment horizontal="center" vertical="center" wrapText="1"/>
    </xf>
    <xf numFmtId="0" fontId="16" fillId="6" borderId="3" xfId="1" applyFont="1" applyFill="1" applyBorder="1" applyAlignment="1">
      <alignment horizontal="center" vertical="center" wrapText="1"/>
    </xf>
    <xf numFmtId="0" fontId="16" fillId="6" borderId="9" xfId="1" applyFont="1" applyFill="1" applyBorder="1" applyAlignment="1">
      <alignment horizontal="center" vertical="center" wrapText="1"/>
    </xf>
    <xf numFmtId="0" fontId="16" fillId="6" borderId="14" xfId="1" applyFont="1" applyFill="1" applyBorder="1" applyAlignment="1">
      <alignment horizontal="center" vertical="center" wrapText="1"/>
    </xf>
    <xf numFmtId="0" fontId="17" fillId="9" borderId="10" xfId="1" applyFont="1" applyFill="1" applyBorder="1" applyAlignment="1">
      <alignment horizontal="center" vertical="center" wrapText="1"/>
    </xf>
    <xf numFmtId="0" fontId="17" fillId="9" borderId="11" xfId="1" applyFont="1" applyFill="1" applyBorder="1" applyAlignment="1">
      <alignment horizontal="center" vertical="center" wrapText="1"/>
    </xf>
    <xf numFmtId="0" fontId="17" fillId="9" borderId="12" xfId="1" applyFont="1" applyFill="1" applyBorder="1" applyAlignment="1">
      <alignment horizontal="center" vertical="center" wrapText="1"/>
    </xf>
    <xf numFmtId="0" fontId="17" fillId="9" borderId="42" xfId="1" applyFont="1" applyFill="1" applyBorder="1" applyAlignment="1">
      <alignment horizontal="center" vertical="center" wrapText="1"/>
    </xf>
    <xf numFmtId="0" fontId="17" fillId="9" borderId="0" xfId="1" applyFont="1" applyFill="1" applyAlignment="1">
      <alignment horizontal="center" vertical="center" wrapText="1"/>
    </xf>
    <xf numFmtId="0" fontId="17" fillId="9" borderId="43" xfId="1" applyFont="1" applyFill="1" applyBorder="1" applyAlignment="1">
      <alignment horizontal="center" vertical="center" wrapText="1"/>
    </xf>
    <xf numFmtId="0" fontId="18" fillId="7" borderId="15" xfId="1" applyFont="1" applyFill="1" applyBorder="1" applyAlignment="1">
      <alignment horizontal="center" vertical="center" wrapText="1"/>
    </xf>
    <xf numFmtId="0" fontId="18" fillId="7" borderId="18" xfId="1" applyFont="1" applyFill="1" applyBorder="1" applyAlignment="1">
      <alignment horizontal="center" vertical="center" wrapText="1"/>
    </xf>
    <xf numFmtId="0" fontId="19" fillId="13" borderId="14" xfId="1" applyFont="1" applyFill="1" applyBorder="1" applyAlignment="1">
      <alignment horizontal="center" vertical="center" wrapText="1"/>
    </xf>
    <xf numFmtId="0" fontId="19" fillId="13" borderId="19" xfId="1" applyFont="1" applyFill="1" applyBorder="1" applyAlignment="1">
      <alignment horizontal="center" vertical="center" wrapText="1"/>
    </xf>
    <xf numFmtId="0" fontId="19" fillId="13" borderId="4" xfId="1" applyFont="1" applyFill="1" applyBorder="1" applyAlignment="1">
      <alignment horizontal="center" vertical="center" wrapText="1"/>
    </xf>
    <xf numFmtId="0" fontId="19" fillId="13" borderId="17" xfId="1" applyFont="1" applyFill="1" applyBorder="1" applyAlignment="1">
      <alignment horizontal="center" vertical="center" wrapText="1"/>
    </xf>
    <xf numFmtId="0" fontId="19" fillId="13" borderId="15" xfId="1" applyFont="1" applyFill="1" applyBorder="1" applyAlignment="1">
      <alignment horizontal="center" vertical="center" wrapText="1"/>
    </xf>
    <xf numFmtId="0" fontId="19" fillId="13" borderId="18" xfId="1" applyFont="1" applyFill="1" applyBorder="1" applyAlignment="1">
      <alignment horizontal="center" vertical="center" wrapText="1"/>
    </xf>
    <xf numFmtId="0" fontId="16" fillId="10" borderId="8" xfId="1" applyFont="1" applyFill="1" applyBorder="1" applyAlignment="1">
      <alignment horizontal="center" vertical="center" wrapText="1"/>
    </xf>
    <xf numFmtId="0" fontId="16" fillId="10" borderId="3" xfId="1" applyFont="1" applyFill="1" applyBorder="1" applyAlignment="1">
      <alignment horizontal="center" vertical="center" wrapText="1"/>
    </xf>
    <xf numFmtId="0" fontId="16" fillId="10" borderId="9" xfId="1" applyFont="1" applyFill="1" applyBorder="1" applyAlignment="1">
      <alignment horizontal="center" vertical="center" wrapText="1"/>
    </xf>
    <xf numFmtId="0" fontId="16" fillId="10" borderId="32" xfId="1" applyFont="1" applyFill="1" applyBorder="1" applyAlignment="1">
      <alignment horizontal="center" vertical="center" wrapText="1"/>
    </xf>
    <xf numFmtId="0" fontId="16" fillId="10" borderId="25" xfId="1" applyFont="1" applyFill="1" applyBorder="1" applyAlignment="1">
      <alignment horizontal="center" vertical="center" wrapText="1"/>
    </xf>
    <xf numFmtId="0" fontId="16" fillId="10" borderId="33" xfId="1" applyFont="1" applyFill="1" applyBorder="1" applyAlignment="1">
      <alignment horizontal="center" vertical="center" wrapText="1"/>
    </xf>
    <xf numFmtId="0" fontId="16" fillId="10" borderId="14" xfId="1" applyFont="1" applyFill="1" applyBorder="1" applyAlignment="1">
      <alignment horizontal="center" vertical="center" wrapText="1"/>
    </xf>
    <xf numFmtId="0" fontId="16" fillId="10" borderId="4" xfId="1" applyFont="1" applyFill="1" applyBorder="1" applyAlignment="1">
      <alignment horizontal="center" vertical="center" wrapText="1"/>
    </xf>
    <xf numFmtId="0" fontId="16" fillId="10" borderId="15" xfId="1" applyFont="1" applyFill="1" applyBorder="1" applyAlignment="1">
      <alignment horizontal="center" vertical="center" wrapText="1"/>
    </xf>
    <xf numFmtId="0" fontId="16" fillId="11" borderId="13" xfId="1" applyFont="1" applyFill="1" applyBorder="1" applyAlignment="1">
      <alignment horizontal="center" vertical="center" wrapText="1"/>
    </xf>
    <xf numFmtId="0" fontId="16" fillId="11" borderId="34" xfId="1" applyFont="1" applyFill="1" applyBorder="1" applyAlignment="1">
      <alignment horizontal="center" vertical="center" wrapText="1"/>
    </xf>
    <xf numFmtId="0" fontId="16" fillId="11" borderId="28" xfId="1" applyFont="1" applyFill="1" applyBorder="1" applyAlignment="1">
      <alignment horizontal="center" vertical="center" wrapText="1"/>
    </xf>
    <xf numFmtId="0" fontId="16" fillId="11" borderId="29" xfId="1" applyFont="1" applyFill="1" applyBorder="1" applyAlignment="1">
      <alignment horizontal="center" vertical="center" wrapText="1"/>
    </xf>
    <xf numFmtId="0" fontId="10" fillId="7" borderId="10" xfId="1" applyFont="1" applyFill="1" applyBorder="1" applyAlignment="1">
      <alignment horizontal="center" vertical="center" wrapText="1"/>
    </xf>
    <xf numFmtId="0" fontId="10" fillId="7" borderId="11" xfId="1" applyFont="1" applyFill="1" applyBorder="1" applyAlignment="1">
      <alignment horizontal="center" vertical="center" wrapText="1"/>
    </xf>
    <xf numFmtId="0" fontId="10" fillId="7" borderId="12" xfId="1" applyFont="1" applyFill="1" applyBorder="1" applyAlignment="1">
      <alignment horizontal="center" vertical="center" wrapText="1"/>
    </xf>
    <xf numFmtId="0" fontId="10" fillId="7" borderId="30" xfId="1" applyFont="1" applyFill="1" applyBorder="1" applyAlignment="1">
      <alignment horizontal="center" vertical="center" wrapText="1"/>
    </xf>
    <xf numFmtId="0" fontId="10" fillId="7" borderId="31" xfId="1" applyFont="1" applyFill="1" applyBorder="1" applyAlignment="1">
      <alignment horizontal="center" vertical="center" wrapText="1"/>
    </xf>
    <xf numFmtId="0" fontId="10" fillId="7" borderId="35" xfId="1" applyFont="1" applyFill="1" applyBorder="1" applyAlignment="1">
      <alignment horizontal="center" vertical="center" wrapText="1"/>
    </xf>
    <xf numFmtId="0" fontId="16" fillId="8" borderId="10" xfId="1" applyFont="1" applyFill="1" applyBorder="1" applyAlignment="1">
      <alignment horizontal="center" vertical="center" wrapText="1"/>
    </xf>
    <xf numFmtId="0" fontId="16" fillId="8" borderId="11" xfId="1" applyFont="1" applyFill="1" applyBorder="1" applyAlignment="1">
      <alignment horizontal="center" vertical="center" wrapText="1"/>
    </xf>
    <xf numFmtId="0" fontId="16" fillId="8" borderId="12" xfId="1" applyFont="1" applyFill="1" applyBorder="1" applyAlignment="1">
      <alignment horizontal="center" vertical="center" wrapText="1"/>
    </xf>
    <xf numFmtId="0" fontId="16" fillId="8" borderId="30" xfId="1" applyFont="1" applyFill="1" applyBorder="1" applyAlignment="1">
      <alignment horizontal="center" vertical="center" wrapText="1"/>
    </xf>
    <xf numFmtId="0" fontId="16" fillId="8" borderId="31" xfId="1" applyFont="1" applyFill="1" applyBorder="1" applyAlignment="1">
      <alignment horizontal="center" vertical="center" wrapText="1"/>
    </xf>
    <xf numFmtId="0" fontId="16" fillId="8" borderId="35" xfId="1" applyFont="1" applyFill="1" applyBorder="1" applyAlignment="1">
      <alignment horizontal="center" vertical="center" wrapText="1"/>
    </xf>
    <xf numFmtId="0" fontId="30" fillId="0" borderId="0" xfId="1" applyFont="1" applyAlignment="1">
      <alignment horizontal="left" vertical="center" wrapText="1"/>
    </xf>
    <xf numFmtId="0" fontId="31" fillId="0" borderId="0" xfId="1" applyFont="1" applyAlignment="1">
      <alignment horizontal="left" vertical="center" wrapText="1"/>
    </xf>
    <xf numFmtId="0" fontId="11" fillId="4" borderId="0" xfId="1" applyFill="1" applyAlignment="1"/>
  </cellXfs>
  <cellStyles count="3">
    <cellStyle name="Normal" xfId="0" builtinId="0"/>
    <cellStyle name="Normal 2" xfId="1" xr:uid="{15C839D0-8855-41EF-AD12-281A6B8C8618}"/>
    <cellStyle name="Percent 2" xfId="2" xr:uid="{2436FBB2-BD7B-452E-9DAE-2FAA1C585470}"/>
  </cellStyles>
  <dxfs count="8">
    <dxf>
      <font>
        <b/>
        <color rgb="FFFFFFFF"/>
      </font>
      <fill>
        <patternFill>
          <bgColor rgb="FFA13544"/>
        </patternFill>
      </fill>
    </dxf>
    <dxf>
      <font>
        <b/>
        <color rgb="FFFFFFFF"/>
      </font>
      <fill>
        <patternFill>
          <bgColor rgb="FF437A22"/>
        </patternFill>
      </fill>
    </dxf>
    <dxf>
      <font>
        <b/>
        <color rgb="FFFFFFFF"/>
      </font>
      <fill>
        <patternFill>
          <bgColor rgb="FF7A7974"/>
        </patternFill>
      </fill>
    </dxf>
    <dxf>
      <font>
        <b/>
        <color rgb="FFFFFFFF"/>
      </font>
      <fill>
        <patternFill>
          <bgColor rgb="FFA13544"/>
        </patternFill>
      </fill>
    </dxf>
    <dxf>
      <font>
        <b/>
        <color rgb="FFFFFFFF"/>
      </font>
      <fill>
        <patternFill>
          <bgColor rgb="FFC16E1E"/>
        </patternFill>
      </fill>
    </dxf>
    <dxf>
      <font>
        <b/>
        <color rgb="FF28251D"/>
      </font>
      <fill>
        <patternFill>
          <bgColor rgb="FFFFC553"/>
        </patternFill>
      </fill>
    </dxf>
    <dxf>
      <font>
        <b/>
        <color rgb="FFFFFFFF"/>
      </font>
      <fill>
        <patternFill>
          <bgColor rgb="FF437A22"/>
        </patternFill>
      </fill>
    </dxf>
    <dxf>
      <font>
        <b/>
        <color rgb="FFFFFFFF"/>
      </font>
      <fill>
        <patternFill>
          <bgColor rgb="FFA1354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ocumenttasks/documenttask1.xml><?xml version="1.0" encoding="utf-8"?>
<Tasks xmlns="http://schemas.microsoft.com/office/tasks/2019/documenttasks">
  <Task id="{BCDC1705-F5CC-4609-9BF7-EDEE8E7D1BC2}">
    <Anchor>
      <Comment id="{7FB221FC-C092-48A5-BAEA-439C23955DCE}"/>
    </Anchor>
    <History>
      <Event time="2026-06-18T04:35:30.25" id="{F9F0FAD6-8EDA-45DA-A7C3-5068A33EA20B}">
        <Attribution userId="S::ArisRoso.Yudono@halliburton.com::d6b2eed3-e8f9-4be2-8ced-535bbbd489e8" userName="Aris Roso Yudono" userProvider="AD"/>
        <Anchor>
          <Comment id="{7FB221FC-C092-48A5-BAEA-439C23955DCE}"/>
        </Anchor>
        <Create/>
      </Event>
      <Event time="2026-06-18T04:35:30.25" id="{70A4810E-046B-484A-AA0D-0471B2FCDF55}">
        <Attribution userId="S::ArisRoso.Yudono@halliburton.com::d6b2eed3-e8f9-4be2-8ced-535bbbd489e8" userName="Aris Roso Yudono" userProvider="AD"/>
        <Anchor>
          <Comment id="{7FB221FC-C092-48A5-BAEA-439C23955DCE}"/>
        </Anchor>
        <Assign userId="S::Faisyal.Amir@halliburton.com::54a51c87-4677-4afa-8cde-c80157b18510" userName="Faisyal Amir" userProvider="AD"/>
      </Event>
      <Event time="2026-06-18T04:35:30.25" id="{479FE154-DCB2-4FFC-BBF8-767DFBFD0E67}">
        <Attribution userId="S::ArisRoso.Yudono@halliburton.com::d6b2eed3-e8f9-4be2-8ced-535bbbd489e8" userName="Aris Roso Yudono" userProvider="AD"/>
        <Anchor>
          <Comment id="{7FB221FC-C092-48A5-BAEA-439C23955DCE}"/>
        </Anchor>
        <SetTitle title="@Faisyal Amir scoring rerserve ini berapa "/>
      </Event>
    </History>
  </Task>
  <Task id="{C5B0B227-1369-44B1-B6E5-DAF13E129CF8}">
    <Anchor>
      <Comment id="{0EBDD631-A194-44AE-BB94-C759C924E0E6}"/>
    </Anchor>
    <History>
      <Event time="2026-07-12T00:27:04.93" id="{C87F050B-53F6-4C8A-AA4C-75EBFAE78AA3}">
        <Attribution userId="S::Ridho.Affandi@halliburton.com::71180804-384a-4f12-9394-f43333323e26" userName="Ridho Affandi" userProvider="AD"/>
        <Anchor>
          <Comment id="{0EBDD631-A194-44AE-BB94-C759C924E0E6}"/>
        </Anchor>
        <Create/>
      </Event>
      <Event time="2026-07-12T00:27:04.93" id="{BF9D280E-B1B1-475C-BC58-58BDAB283741}">
        <Attribution userId="S::Ridho.Affandi@halliburton.com::71180804-384a-4f12-9394-f43333323e26" userName="Ridho Affandi" userProvider="AD"/>
        <Anchor>
          <Comment id="{0EBDD631-A194-44AE-BB94-C759C924E0E6}"/>
        </Anchor>
        <Assign userId="S::Faisyal.Amir@halliburton.com::54a51c87-4677-4afa-8cde-c80157b18510" userName="Faisyal Amir" userProvider="AD"/>
      </Event>
      <Event time="2026-07-12T00:27:04.93" id="{4C9FC903-C05F-4FEC-9AD1-E7DB7C9AC562}">
        <Attribution userId="S::Ridho.Affandi@halliburton.com::71180804-384a-4f12-9394-f43333323e26" userName="Ridho Affandi" userProvider="AD"/>
        <Anchor>
          <Comment id="{0EBDD631-A194-44AE-BB94-C759C924E0E6}"/>
        </Anchor>
        <SetTitle title="@Faisyal Amir angka ini bener gak ya om"/>
      </Event>
    </History>
  </Task>
  <Task id="{E7DBB280-DA55-451B-9F4A-1CF4E9D7A77E}">
    <Anchor>
      <Comment id="{F2DC554A-42E2-48EF-BE04-91DD052C273C}"/>
    </Anchor>
    <History>
      <Event time="2026-06-17T08:21:08.03" id="{29124C06-FEC2-4966-9B7D-AF1E0E920DC5}">
        <Attribution userId="S::ArisRoso.Yudono@halliburton.com::d6b2eed3-e8f9-4be2-8ced-535bbbd489e8" userName="Aris Roso Yudono" userProvider="AD"/>
        <Anchor>
          <Comment id="{F2DC554A-42E2-48EF-BE04-91DD052C273C}"/>
        </Anchor>
        <Create/>
      </Event>
      <Event time="2026-06-17T08:21:08.03" id="{81A77678-7F33-4FD7-9612-7569EB2A63A0}">
        <Attribution userId="S::ArisRoso.Yudono@halliburton.com::d6b2eed3-e8f9-4be2-8ced-535bbbd489e8" userName="Aris Roso Yudono" userProvider="AD"/>
        <Anchor>
          <Comment id="{F2DC554A-42E2-48EF-BE04-91DD052C273C}"/>
        </Anchor>
        <Assign userId="S::Faisyal.Amir@halliburton.com::54a51c87-4677-4afa-8cde-c80157b18510" userName="Faisyal Amir" userProvider="AD"/>
      </Event>
      <Event time="2026-06-17T08:21:08.03" id="{BE735122-E634-4315-A057-F5C3C150CA61}">
        <Attribution userId="S::ArisRoso.Yudono@halliburton.com::d6b2eed3-e8f9-4be2-8ced-535bbbd489e8" userName="Aris Roso Yudono" userProvider="AD"/>
        <Anchor>
          <Comment id="{F2DC554A-42E2-48EF-BE04-91DD052C273C}"/>
        </Anchor>
        <SetTitle title="@Faisyal Amir tolong recheck last oil rate di KOPAR-00014 . 3936 ?"/>
      </Event>
    </History>
  </Task>
  <Task id="{F07278D2-9353-4F08-A409-DA65CC5CEED7}">
    <Anchor>
      <Comment id="{C6A0202F-C525-4A7E-9713-9C0A0AC52BF3}"/>
    </Anchor>
    <History>
      <Event time="2026-07-12T00:25:04.76" id="{AE6B4EA5-BB44-4E15-AEA3-9C2DC9CDD9EE}">
        <Attribution userId="S::Ridho.Affandi@halliburton.com::71180804-384a-4f12-9394-f43333323e26" userName="Ridho Affandi" userProvider="AD"/>
        <Anchor>
          <Comment id="{C6A0202F-C525-4A7E-9713-9C0A0AC52BF3}"/>
        </Anchor>
        <Create/>
      </Event>
      <Event time="2026-07-12T00:25:04.76" id="{00548FD9-6299-45E5-A3B4-C36EDA5BF284}">
        <Attribution userId="S::Ridho.Affandi@halliburton.com::71180804-384a-4f12-9394-f43333323e26" userName="Ridho Affandi" userProvider="AD"/>
        <Anchor>
          <Comment id="{C6A0202F-C525-4A7E-9713-9C0A0AC52BF3}"/>
        </Anchor>
        <Assign userId="S::Faisyal.Amir@halliburton.com::54a51c87-4677-4afa-8cde-c80157b18510" userName="Faisyal Amir" userProvider="AD"/>
      </Event>
      <Event time="2026-07-12T00:25:04.76" id="{D82B4D43-8882-4E18-9C08-BCF919873438}">
        <Attribution userId="S::Ridho.Affandi@halliburton.com::71180804-384a-4f12-9394-f43333323e26" userName="Ridho Affandi" userProvider="AD"/>
        <Anchor>
          <Comment id="{C6A0202F-C525-4A7E-9713-9C0A0AC52BF3}"/>
        </Anchor>
        <SetTitle title="@Faisyal Amir oil gainnya bener syal 5 syal"/>
      </Event>
    </History>
  </Task>
  <Task id="{63B8C4D6-D6DE-48D8-9E83-2D0E4579FD55}">
    <Anchor>
      <Comment id="{FA2FCA03-5D05-4591-AC50-562C9B96568E}"/>
    </Anchor>
    <History>
      <Event time="2026-07-11T15:06:37.76" id="{6105D5E1-76FE-44DC-9805-4FF3D46A509D}">
        <Attribution userId="S::Ridho.Affandi@halliburton.com::71180804-384a-4f12-9394-f43333323e26" userName="Ridho Affandi" userProvider="AD"/>
        <Anchor>
          <Comment id="{FA2FCA03-5D05-4591-AC50-562C9B96568E}"/>
        </Anchor>
        <Create/>
      </Event>
      <Event time="2026-07-11T15:06:37.76" id="{BC5F8A86-15CC-43A8-88B2-A4AEC82B62F4}">
        <Attribution userId="S::Ridho.Affandi@halliburton.com::71180804-384a-4f12-9394-f43333323e26" userName="Ridho Affandi" userProvider="AD"/>
        <Anchor>
          <Comment id="{FA2FCA03-5D05-4591-AC50-562C9B96568E}"/>
        </Anchor>
        <Assign userId="S::Faisyal.Amir@halliburton.com::54a51c87-4677-4afa-8cde-c80157b18510" userName="Faisyal Amir" userProvider="AD"/>
      </Event>
      <Event time="2026-07-11T15:06:37.76" id="{27C30B1E-3E4D-4852-B039-838985BC010B}">
        <Attribution userId="S::Ridho.Affandi@halliburton.com::71180804-384a-4f12-9394-f43333323e26" userName="Ridho Affandi" userProvider="AD"/>
        <Anchor>
          <Comment id="{FA2FCA03-5D05-4591-AC50-562C9B96568E}"/>
        </Anchor>
        <SetTitle title="@Faisyal Amir angkanya beneran 5 ini syal"/>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46</xdr:col>
      <xdr:colOff>2228850</xdr:colOff>
      <xdr:row>1</xdr:row>
      <xdr:rowOff>104775</xdr:rowOff>
    </xdr:from>
    <xdr:to>
      <xdr:col>47</xdr:col>
      <xdr:colOff>4454</xdr:colOff>
      <xdr:row>1</xdr:row>
      <xdr:rowOff>231435</xdr:rowOff>
    </xdr:to>
    <xdr:pic>
      <xdr:nvPicPr>
        <xdr:cNvPr id="4" name="Graphic 8">
          <a:extLst>
            <a:ext uri="{FF2B5EF4-FFF2-40B4-BE49-F238E27FC236}">
              <a16:creationId xmlns:a16="http://schemas.microsoft.com/office/drawing/2014/main" id="{1CACE607-06A6-236D-FF39-C1E213E30C9F}"/>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48253650" y="295275"/>
          <a:ext cx="1766579" cy="126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halliburton-my.sharepoint.com/personal/ridho_affandi_halliburton_com/Documents/RIDHO_DATA/CONSULTING/IDLE%20WELLS/Matrix%20Screening/Backup%20Matrix%20Files/Final%20Idle_Well_Screening_Matrix%20%20Simple%20Mod%2020May26_Rev01.xlsx" TargetMode="External"/><Relationship Id="rId2" Type="http://schemas.microsoft.com/office/2019/04/relationships/externalLinkLongPath" Target="/personal/ridho_affandi_halliburton_com/Documents/RIDHO_DATA/CONSULTING/IDLE%20WELLS/Matrix%20Screening/Backup%20Matrix%20Files/Final%20Idle_Well_Screening_Matrix%20%20Simple%20Mod%2020May26_Rev01.xlsx?58665F30" TargetMode="External"/><Relationship Id="rId1" Type="http://schemas.openxmlformats.org/officeDocument/2006/relationships/externalLinkPath" Target="file:///\\58665F30\Final%20Idle_Well_Screening_Matrix%20%20Simple%20Mod%2020May26_Rev01.xlsx" TargetMode="External"/><Relationship Id="rId4" Type="http://schemas.openxmlformats.org/officeDocument/2006/relationships/externalLinkPath" Target="../../../../../../../ridho_affandi_halliburton_com/Documents/RIDHO_DATA/CONSULTING/IDLE%20WELLS/Matrix%20Screening/Backup%20Matrix%20Files/Final%20Idle_Well_Screening_Matrix%20%20Simple%20Mod%2020May26_Rev0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faisyal_amir_halliburton_com/Documents/Zona_Rokan_Reservoir_Assessment_Completed_with_NZBP_Verified_Faisyal.xlsx" TargetMode="External"/><Relationship Id="rId2" Type="http://schemas.openxmlformats.org/officeDocument/2006/relationships/externalLinkPath" Target="https://halliburton-my.sharepoint.com/personal/faisyal_amir_halliburton_com/Documents/Zona_Rokan_Reservoir_Assessment_Completed_with_NZBP_Verified_Faisyal.xlsx" TargetMode="External"/><Relationship Id="rId1" Type="http://schemas.openxmlformats.org/officeDocument/2006/relationships/externalLinkPath" Target="/personal/faisyal_amir_halliburton_com/Documents/Zona_Rokan_Reservoir_Assessment_Completed_with_NZBP_Verified_Faisy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E0szEIAO0iqg845c3lUJNeZV3gWrRdOq-i3ZG3idIR4kKHvAqaxTZotm1s3lDl2" itemId="01Z7OC4UAWRDR2SHEXRVCYY7WSAYFX7M64">
      <xxl21:absoluteUrl r:id="rId3"/>
      <xxl21:relativeUrl r:id="rId4"/>
    </xxl21:alternateUrls>
    <sheetNames>
      <sheetName val="Cover"/>
      <sheetName val="Portfolio Dashboard"/>
      <sheetName val="Master Database &amp; Scoring_Final"/>
      <sheetName val="Master Database &amp; Scoring"/>
      <sheetName val="Parameter Weights"/>
      <sheetName val="Master Database &amp; Scoring_Nabil"/>
      <sheetName val="Tier Definitions &amp; KPIs"/>
      <sheetName val="Scoring Rubric"/>
      <sheetName val="Sheet1"/>
    </sheetNames>
    <sheetDataSet>
      <sheetData sheetId="0"/>
      <sheetData sheetId="1"/>
      <sheetData sheetId="2"/>
      <sheetData sheetId="3"/>
      <sheetData sheetId="4">
        <row r="7">
          <cell r="F7">
            <v>0.1</v>
          </cell>
        </row>
        <row r="9">
          <cell r="F9">
            <v>0.15</v>
          </cell>
        </row>
        <row r="10">
          <cell r="F10">
            <v>0.05</v>
          </cell>
        </row>
        <row r="11">
          <cell r="F11">
            <v>0.05</v>
          </cell>
        </row>
        <row r="12">
          <cell r="F12">
            <v>0.15</v>
          </cell>
        </row>
        <row r="13">
          <cell r="F13">
            <v>0.1</v>
          </cell>
        </row>
        <row r="14">
          <cell r="F14">
            <v>0.05</v>
          </cell>
        </row>
        <row r="16">
          <cell r="F16">
            <v>0.1</v>
          </cell>
        </row>
        <row r="17">
          <cell r="F17">
            <v>0.1</v>
          </cell>
        </row>
        <row r="18">
          <cell r="F18">
            <v>0.05</v>
          </cell>
        </row>
        <row r="19">
          <cell r="F19">
            <v>0.05</v>
          </cell>
        </row>
        <row r="20">
          <cell r="F20">
            <v>0.05</v>
          </cell>
        </row>
      </sheetData>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Lj4d02REbkmQhnE2p49MH4lfTzhPAhdJjZymuKLyOClEOX-3GAMHRozHxNkrjNtC" itemId="01PW363LBJPIBOLISXNBCLTZMCMNIW4LH2">
      <xxl21:absoluteUrl r:id="rId2"/>
      <xxl21:relativeUrl r:id="rId3"/>
    </xxl21:alternateUrls>
    <sheetNames>
      <sheetName val="Dashboard"/>
      <sheetName val="Assessment"/>
      <sheetName val="Top Candidates"/>
      <sheetName val="Source Coverage"/>
      <sheetName val="Data Gaps"/>
      <sheetName val="Methodology"/>
      <sheetName val="NZBP Summary"/>
      <sheetName val="NZBP Intervals"/>
      <sheetName val="Evidence Audit"/>
      <sheetName val="Assumptions &amp; QC"/>
    </sheetNames>
    <sheetDataSet>
      <sheetData sheetId="0"/>
      <sheetData sheetId="1">
        <row r="4">
          <cell r="A4" t="str">
            <v>Candidate</v>
          </cell>
          <cell r="B4" t="str">
            <v>Matched Well Folder</v>
          </cell>
          <cell r="C4" t="str">
            <v>Field</v>
          </cell>
          <cell r="D4" t="str">
            <v>Asset</v>
          </cell>
          <cell r="E4" t="str">
            <v>Last Active Oil Rate (BOPD)</v>
          </cell>
          <cell r="F4" t="str">
            <v>Peak Oil Rate (BOPD)</v>
          </cell>
          <cell r="G4" t="str">
            <v>Annual DCA Rate</v>
          </cell>
          <cell r="H4" t="str">
            <v>Cumulative Oil (Mbbl)</v>
          </cell>
          <cell r="I4" t="str">
            <v>DCA Remaining Reserves (Mbbl)</v>
          </cell>
          <cell r="J4" t="str">
            <v>Porosity</v>
          </cell>
          <cell r="K4" t="str">
            <v>Drainage Radius</v>
          </cell>
          <cell r="L4" t="str">
            <v>Sw</v>
          </cell>
          <cell r="M4" t="str">
            <v>Net Pay</v>
          </cell>
          <cell r="N4" t="str">
            <v>Bo</v>
          </cell>
          <cell r="O4" t="str">
            <v>OOIP (MBbl)</v>
          </cell>
          <cell r="P4" t="str">
            <v>OOIP (MBO)</v>
          </cell>
          <cell r="Q4" t="str">
            <v>RF</v>
          </cell>
          <cell r="R4" t="str">
            <v>Volumetric Recoverable reserves (MBO)</v>
          </cell>
          <cell r="S4" t="str">
            <v>Volumetric Remaining Reserves (MBO)</v>
          </cell>
          <cell r="T4" t="str">
            <v>Source Remaining Reserve (DCA) (MBO)</v>
          </cell>
          <cell r="U4" t="str">
            <v>Reservoir / Zone</v>
          </cell>
          <cell r="V4" t="str">
            <v>Initial Pressure</v>
          </cell>
          <cell r="W4" t="str">
            <v>Last Pressure</v>
          </cell>
          <cell r="X4" t="str">
            <v>Initial WC</v>
          </cell>
          <cell r="Y4" t="str">
            <v>Last WC</v>
          </cell>
          <cell r="Z4" t="str">
            <v>Initial PI</v>
          </cell>
          <cell r="AA4" t="str">
            <v>Last PI</v>
          </cell>
          <cell r="AB4" t="str">
            <v>Oil</v>
          </cell>
          <cell r="AC4" t="str">
            <v>Reserves DCA</v>
          </cell>
          <cell r="AD4" t="str">
            <v>Reserves volumetric</v>
          </cell>
          <cell r="AE4" t="str">
            <v>Pressure</v>
          </cell>
          <cell r="AF4" t="str">
            <v>WC</v>
          </cell>
          <cell r="AG4" t="str">
            <v>PI</v>
          </cell>
          <cell r="AH4" t="str">
            <v>Weighted Score</v>
          </cell>
          <cell r="AI4" t="str">
            <v>Confidence</v>
          </cell>
          <cell r="AJ4" t="str">
            <v>Recommendation</v>
          </cell>
          <cell r="AK4" t="str">
            <v>Status</v>
          </cell>
          <cell r="AL4" t="str">
            <v>Completion</v>
          </cell>
          <cell r="AM4" t="str">
            <v>Artificial Lift</v>
          </cell>
          <cell r="AN4" t="str">
            <v>Integrity</v>
          </cell>
          <cell r="AO4" t="str">
            <v>Shutdown Reason</v>
          </cell>
          <cell r="AP4" t="str">
            <v>Existing Facility</v>
          </cell>
          <cell r="AQ4" t="str">
            <v>Available Data Groups</v>
          </cell>
          <cell r="AR4" t="str">
            <v>Missing Data Groups</v>
          </cell>
          <cell r="AS4" t="str">
            <v>Production File</v>
          </cell>
          <cell r="AT4" t="str">
            <v>Data / Mapping Note</v>
          </cell>
          <cell r="AU4" t="str">
            <v>NZBP Status</v>
          </cell>
          <cell r="AV4" t="str">
            <v>NZBP Candidate Count</v>
          </cell>
          <cell r="AW4" t="str">
            <v>P1 (Developed Unproducing Reserves)</v>
          </cell>
          <cell r="AX4" t="str">
            <v>P1 (Developed Unproducing Recoverable Reserves)</v>
          </cell>
          <cell r="AY4" t="str">
            <v>Best NZBP Top MD (ft)</v>
          </cell>
          <cell r="AZ4" t="str">
            <v>Best NZBP Base MD (ft)</v>
          </cell>
          <cell r="BA4" t="str">
            <v>Best NZBP Top TVD (ft)</v>
          </cell>
          <cell r="BB4" t="str">
            <v>Best NZBP Base TVD (ft)</v>
          </cell>
          <cell r="BC4" t="str">
            <v>Best NZBP Gross (ft)</v>
          </cell>
          <cell r="BD4" t="str">
            <v>NZBP Score</v>
          </cell>
          <cell r="BE4" t="str">
            <v>Perforation Events</v>
          </cell>
          <cell r="BF4" t="str">
            <v>LAS Evaluation Status</v>
          </cell>
          <cell r="BG4" t="str">
            <v>LAS Source</v>
          </cell>
          <cell r="BH4" t="str">
            <v>TVD / Trajectory Basis</v>
          </cell>
          <cell r="BI4" t="str">
            <v>Maximum Inclination (deg)</v>
          </cell>
          <cell r="BJ4" t="str">
            <v>Horizontal / Deviation Proof</v>
          </cell>
          <cell r="BK4" t="str">
            <v>Latitude</v>
          </cell>
          <cell r="BL4" t="str">
            <v>Longitude</v>
          </cell>
          <cell r="BM4" t="str">
            <v>UTM X / Easting</v>
          </cell>
          <cell r="BN4" t="str">
            <v>UTM Y / Northing</v>
          </cell>
          <cell r="BO4" t="str">
            <v>Coordinate Basis</v>
          </cell>
        </row>
        <row r="5">
          <cell r="A5" t="str">
            <v>Balam SE-00020</v>
          </cell>
          <cell r="B5" t="str">
            <v>BLSE00020</v>
          </cell>
          <cell r="C5" t="str">
            <v>BALAM_SE</v>
          </cell>
          <cell r="D5" t="str">
            <v>Balam</v>
          </cell>
          <cell r="E5">
            <v>73.793478260869605</v>
          </cell>
          <cell r="F5">
            <v>73.793478260869605</v>
          </cell>
          <cell r="G5">
            <v>0.64926872740180996</v>
          </cell>
          <cell r="H5">
            <v>38.760063299999999</v>
          </cell>
          <cell r="I5">
            <v>41.484547812740203</v>
          </cell>
          <cell r="J5">
            <v>0.26394454554819602</v>
          </cell>
          <cell r="K5">
            <v>656</v>
          </cell>
          <cell r="L5">
            <v>0.33608014168567002</v>
          </cell>
          <cell r="M5">
            <v>596</v>
          </cell>
          <cell r="N5">
            <v>1.1993932052298437</v>
          </cell>
          <cell r="O5">
            <v>27028.235021290999</v>
          </cell>
          <cell r="P5">
            <v>20956.186613580558</v>
          </cell>
          <cell r="Q5">
            <v>1.8495761664425016E-3</v>
          </cell>
          <cell r="R5">
            <v>4191.2373227161115</v>
          </cell>
          <cell r="S5">
            <v>4152.4772594161113</v>
          </cell>
          <cell r="T5">
            <v>41.484547812740203</v>
          </cell>
          <cell r="U5" t="str">
            <v>Rokan</v>
          </cell>
          <cell r="V5">
            <v>1311.7735</v>
          </cell>
          <cell r="W5">
            <v>1310.5193935971899</v>
          </cell>
          <cell r="X5">
            <v>10</v>
          </cell>
          <cell r="Y5">
            <v>10</v>
          </cell>
          <cell r="Z5">
            <v>0.16088164001758701</v>
          </cell>
          <cell r="AA5">
            <v>0.16088164001758701</v>
          </cell>
          <cell r="AB5">
            <v>3</v>
          </cell>
          <cell r="AC5">
            <v>2</v>
          </cell>
          <cell r="AD5">
            <v>5</v>
          </cell>
          <cell r="AE5">
            <v>5</v>
          </cell>
          <cell r="AF5">
            <v>5</v>
          </cell>
          <cell r="AG5">
            <v>1</v>
          </cell>
          <cell r="AH5">
            <v>3.15</v>
          </cell>
          <cell r="AI5">
            <v>0.8</v>
          </cell>
          <cell r="AJ5" t="str">
            <v>Tier 1 - validate for reactivation</v>
          </cell>
          <cell r="AK5" t="str">
            <v>POP</v>
          </cell>
          <cell r="AL5" t="str">
            <v>Open Hole</v>
          </cell>
          <cell r="AM5" t="str">
            <v>ESP</v>
          </cell>
          <cell r="AN5" t="str">
            <v>pressure test</v>
          </cell>
          <cell r="AO5" t="str">
            <v>WELL NOT POP YET DUE TO SURF FACT</v>
          </cell>
          <cell r="AP5" t="str">
            <v>WHC</v>
          </cell>
          <cell r="AQ5" t="str">
            <v>Well source folder found; digital-group classification absent</v>
          </cell>
          <cell r="AR5" t="str">
            <v>No standard-group gap identified in database</v>
          </cell>
          <cell r="AS5" t="str">
            <v>D:\HALLIBURTON CONSULTING\Data Nations\Zona Rokan\BALAM_SE\BLSE00020\6_Prod\ProdHist_BLSE00020.xlsx</v>
          </cell>
          <cell r="AT5" t="str">
            <v>field+well-number; Value completion uses Formation evaluation completed; Candidate mapped to source well</v>
          </cell>
          <cell r="AU5" t="str">
            <v>NZBP SCREENING CANDIDATE</v>
          </cell>
          <cell r="AV5">
            <v>31</v>
          </cell>
          <cell r="AW5">
            <v>1090.0029950016733</v>
          </cell>
          <cell r="AX5">
            <v>218.00059900033466</v>
          </cell>
          <cell r="AY5">
            <v>3029.5</v>
          </cell>
          <cell r="AZ5">
            <v>3066.5</v>
          </cell>
          <cell r="BA5">
            <v>3029.5</v>
          </cell>
          <cell r="BB5">
            <v>3066.5</v>
          </cell>
          <cell r="BC5">
            <v>37.5</v>
          </cell>
          <cell r="BD5">
            <v>93.1</v>
          </cell>
          <cell r="BE5">
            <v>4</v>
          </cell>
          <cell r="BF5" t="str">
            <v>Formation evaluation completed</v>
          </cell>
          <cell r="BG5" t="str">
            <v>D:\HALLIBURTON CONSULTING\Data Nations\Zona Rokan\BALAM_SE\BLSE00020\5_Well_Log_Raw\46830255_BLSE00020_T_172712_0.las</v>
          </cell>
          <cell r="BH5" t="str">
            <v>MD used as TVD; no numeric deviation survey found</v>
          </cell>
          <cell r="BI5">
            <v>0</v>
          </cell>
          <cell r="BJ5" t="str">
            <v>No numeric horizontal proof</v>
          </cell>
          <cell r="BK5">
            <v>1.666442</v>
          </cell>
          <cell r="BL5" t="str">
            <v>No coordinate evidence in source/LAS</v>
          </cell>
          <cell r="BM5">
            <v>701432.9</v>
          </cell>
          <cell r="BN5">
            <v>184285.6</v>
          </cell>
          <cell r="BO5" t="str">
            <v>Source X/Y or local grid; CRS verification required</v>
          </cell>
        </row>
        <row r="6">
          <cell r="A6" t="str">
            <v>Candi-00006</v>
          </cell>
          <cell r="B6" t="str">
            <v>CAND00006D1</v>
          </cell>
          <cell r="C6" t="str">
            <v>CANDI</v>
          </cell>
          <cell r="D6" t="str">
            <v>Balam</v>
          </cell>
          <cell r="E6">
            <v>30.655000000000001</v>
          </cell>
          <cell r="F6">
            <v>99.783666666666704</v>
          </cell>
          <cell r="G6">
            <v>0.60565599222549504</v>
          </cell>
          <cell r="H6">
            <v>136.5394459</v>
          </cell>
          <cell r="I6">
            <v>18.4743074346305</v>
          </cell>
          <cell r="J6">
            <v>0.26168409431471001</v>
          </cell>
          <cell r="K6">
            <v>656</v>
          </cell>
          <cell r="L6">
            <v>0.46839573750621599</v>
          </cell>
          <cell r="M6">
            <v>481.25</v>
          </cell>
          <cell r="N6">
            <v>1.1993932052298437</v>
          </cell>
          <cell r="O6">
            <v>17325.253566746898</v>
          </cell>
          <cell r="P6">
            <v>13433.035734162706</v>
          </cell>
          <cell r="Q6">
            <v>1.0164451923012073E-2</v>
          </cell>
          <cell r="R6">
            <v>2686.6071468325413</v>
          </cell>
          <cell r="S6">
            <v>2550.0677009325414</v>
          </cell>
          <cell r="T6">
            <v>18.4743074346305</v>
          </cell>
          <cell r="U6" t="str">
            <v>Rokan</v>
          </cell>
          <cell r="V6">
            <v>1543.212</v>
          </cell>
          <cell r="W6">
            <v>1535.1040162572899</v>
          </cell>
          <cell r="X6">
            <v>10</v>
          </cell>
          <cell r="Y6">
            <v>10</v>
          </cell>
          <cell r="Z6">
            <v>0.18474207722347299</v>
          </cell>
          <cell r="AA6">
            <v>5.70552310189738E-2</v>
          </cell>
          <cell r="AB6">
            <v>2</v>
          </cell>
          <cell r="AC6">
            <v>2</v>
          </cell>
          <cell r="AD6">
            <v>5</v>
          </cell>
          <cell r="AE6">
            <v>5</v>
          </cell>
          <cell r="AF6">
            <v>5</v>
          </cell>
          <cell r="AG6">
            <v>1</v>
          </cell>
          <cell r="AH6">
            <v>2.9</v>
          </cell>
          <cell r="AI6">
            <v>0.8</v>
          </cell>
          <cell r="AJ6" t="str">
            <v>Tier 2 - subsurface / integrity review</v>
          </cell>
          <cell r="AK6" t="str">
            <v>POP</v>
          </cell>
          <cell r="AL6" t="str">
            <v>OPEN HOLE</v>
          </cell>
          <cell r="AM6" t="str">
            <v>ESP</v>
          </cell>
          <cell r="AN6" t="str">
            <v>Leak</v>
          </cell>
          <cell r="AO6" t="str">
            <v>INITIAL COMPLETION CHARGE TO</v>
          </cell>
          <cell r="AP6" t="str">
            <v>manifold</v>
          </cell>
          <cell r="AQ6" t="str">
            <v>Well source folder found; digital-group classification absent</v>
          </cell>
          <cell r="AR6" t="str">
            <v>No standard-group gap identified in database</v>
          </cell>
          <cell r="AS6" t="str">
            <v>D:\HALLIBURTON CONSULTING\Data Nations\Zona Rokan\CANDI\CAND00006D1\6_Prod\ProdHist_CAND00006.xlsx</v>
          </cell>
          <cell r="AT6" t="str">
            <v>field+well-number; Value completion uses Formation evaluation completed; Candidate mapped to source well</v>
          </cell>
          <cell r="AU6" t="str">
            <v>No qualifying &gt;=5 ft NZBP interval in interpreted LAS</v>
          </cell>
          <cell r="AV6">
            <v>0</v>
          </cell>
          <cell r="AW6">
            <v>0</v>
          </cell>
          <cell r="AX6">
            <v>0</v>
          </cell>
          <cell r="AY6" t="str">
            <v>No qualifying &gt;=5 ft interval</v>
          </cell>
          <cell r="AZ6" t="str">
            <v>No qualifying &gt;=5 ft interval</v>
          </cell>
          <cell r="BA6" t="str">
            <v>No qualifying &gt;=5 ft interval</v>
          </cell>
          <cell r="BB6" t="str">
            <v>No qualifying &gt;=5 ft interval</v>
          </cell>
          <cell r="BC6" t="str">
            <v>No qualifying &gt;=5 ft interval</v>
          </cell>
          <cell r="BD6" t="str">
            <v>No qualifying &gt;=5 ft interval</v>
          </cell>
          <cell r="BE6">
            <v>5</v>
          </cell>
          <cell r="BF6" t="str">
            <v>Formation evaluation completed</v>
          </cell>
          <cell r="BG6" t="str">
            <v>D:\HALLIBURTON CONSULTING\Data Nations\Zona Rokan\CANDI\CAND00006D1\5_Well_Log_Raw\64652327_CAND00006D1_T_041119_0.las</v>
          </cell>
          <cell r="BH6" t="str">
            <v>MD used as TVD; no numeric deviation survey found</v>
          </cell>
          <cell r="BI6">
            <v>0</v>
          </cell>
          <cell r="BJ6" t="str">
            <v>No numeric horizontal proof</v>
          </cell>
          <cell r="BK6" t="str">
            <v>No coordinate evidence in source/LAS</v>
          </cell>
          <cell r="BL6" t="str">
            <v>No coordinate evidence in source/LAS</v>
          </cell>
          <cell r="BM6" t="str">
            <v>No coordinate evidence in source/LAS</v>
          </cell>
          <cell r="BN6" t="str">
            <v>No coordinate evidence in source/LAS</v>
          </cell>
          <cell r="BO6" t="str">
            <v>No coordinate evidence after source and LAS-header search</v>
          </cell>
        </row>
        <row r="7">
          <cell r="A7" t="str">
            <v>Gulamo-00001</v>
          </cell>
          <cell r="B7" t="str">
            <v>GULA00001</v>
          </cell>
          <cell r="C7" t="str">
            <v>GULAMO</v>
          </cell>
          <cell r="D7" t="str">
            <v>Balam</v>
          </cell>
          <cell r="E7">
            <v>2</v>
          </cell>
          <cell r="F7">
            <v>2980</v>
          </cell>
          <cell r="G7">
            <v>0.64926872740180996</v>
          </cell>
          <cell r="H7">
            <v>411.89210320000001</v>
          </cell>
          <cell r="I7">
            <v>1.1243418467438799</v>
          </cell>
          <cell r="J7">
            <v>0.12</v>
          </cell>
          <cell r="K7">
            <v>656</v>
          </cell>
          <cell r="L7">
            <v>0.46839573750621599</v>
          </cell>
          <cell r="M7">
            <v>481.25</v>
          </cell>
          <cell r="N7">
            <v>1.1993932052298437</v>
          </cell>
          <cell r="O7">
            <v>7944.8100712965597</v>
          </cell>
          <cell r="P7">
            <v>6159.9628067608965</v>
          </cell>
          <cell r="Q7">
            <v>6.6866004896640907E-2</v>
          </cell>
          <cell r="R7">
            <v>1231.9925613521793</v>
          </cell>
          <cell r="S7">
            <v>820.10045815217927</v>
          </cell>
          <cell r="T7">
            <v>1.1243418467438799</v>
          </cell>
          <cell r="U7" t="str">
            <v>Rokan</v>
          </cell>
          <cell r="V7">
            <v>4243.3999999999996</v>
          </cell>
          <cell r="W7">
            <v>4096.7362924950203</v>
          </cell>
          <cell r="X7">
            <v>98</v>
          </cell>
          <cell r="Y7">
            <v>98</v>
          </cell>
          <cell r="Z7">
            <v>2.0064772857344901</v>
          </cell>
          <cell r="AA7">
            <v>1.3948385510568399E-3</v>
          </cell>
          <cell r="AB7">
            <v>1</v>
          </cell>
          <cell r="AC7">
            <v>1</v>
          </cell>
          <cell r="AD7">
            <v>5</v>
          </cell>
          <cell r="AE7">
            <v>5</v>
          </cell>
          <cell r="AF7">
            <v>1</v>
          </cell>
          <cell r="AG7">
            <v>1</v>
          </cell>
          <cell r="AH7">
            <v>1.8</v>
          </cell>
          <cell r="AI7">
            <v>0.35</v>
          </cell>
          <cell r="AJ7" t="str">
            <v>Defer / low-confidence opportunity</v>
          </cell>
          <cell r="AK7" t="str">
            <v>SHUT IN</v>
          </cell>
          <cell r="AL7" t="str">
            <v>COMPLETION TYPE : SINGLE vELL STATUS St ee i</v>
          </cell>
          <cell r="AM7" t="str">
            <v>SRP</v>
          </cell>
          <cell r="AN7" t="str">
            <v>PRESSURE TEST ALL VALVES</v>
          </cell>
          <cell r="AO7" t="str">
            <v>shut in weLL, isio = 450 psi, built un to 2500 psi/45 min</v>
          </cell>
          <cell r="AP7" t="str">
            <v>CHOKE MANIFOLD</v>
          </cell>
          <cell r="AQ7" t="str">
            <v>Well source folder found; digital-group classification absent</v>
          </cell>
          <cell r="AR7" t="str">
            <v>No standard-group gap identified in database</v>
          </cell>
          <cell r="AS7" t="str">
            <v>No usable 6_Prod workbook after recursive search</v>
          </cell>
          <cell r="AT7" t="str">
            <v>field+well-number; Value completion uses No digital LAS found after recursive source search; Candidate mapped to source well</v>
          </cell>
          <cell r="AU7" t="str">
            <v>No digital LAS found after recursive source search</v>
          </cell>
          <cell r="AV7">
            <v>0</v>
          </cell>
          <cell r="AW7">
            <v>0</v>
          </cell>
          <cell r="AX7">
            <v>0</v>
          </cell>
          <cell r="AY7" t="str">
            <v>Not calculable - no usable digital LAS</v>
          </cell>
          <cell r="AZ7" t="str">
            <v>Not calculable - no usable digital LAS</v>
          </cell>
          <cell r="BA7" t="str">
            <v>Not calculable - no usable digital LAS</v>
          </cell>
          <cell r="BB7" t="str">
            <v>Not calculable - no usable digital LAS</v>
          </cell>
          <cell r="BC7" t="str">
            <v>Not calculable - no usable digital LAS</v>
          </cell>
          <cell r="BD7" t="str">
            <v>Not calculable - no usable digital LAS</v>
          </cell>
          <cell r="BE7">
            <v>0</v>
          </cell>
          <cell r="BF7" t="str">
            <v>No digital LAS found after recursive source search</v>
          </cell>
          <cell r="BG7" t="str">
            <v>No usable digital LAS source</v>
          </cell>
          <cell r="BH7" t="str">
            <v>No numeric trajectory source</v>
          </cell>
          <cell r="BI7" t="str">
            <v>No numeric inclination survey</v>
          </cell>
          <cell r="BJ7" t="str">
            <v>No numeric deviation proof</v>
          </cell>
          <cell r="BK7" t="str">
            <v>No coordinate evidence in source/LAS</v>
          </cell>
          <cell r="BL7" t="str">
            <v>No coordinate evidence in source/LAS</v>
          </cell>
          <cell r="BM7" t="str">
            <v>No coordinate evidence in source/LAS</v>
          </cell>
          <cell r="BN7" t="str">
            <v>No coordinate evidence in source/LAS</v>
          </cell>
          <cell r="BO7" t="str">
            <v>No coordinate evidence after source and LAS-header search</v>
          </cell>
        </row>
        <row r="8">
          <cell r="A8" t="str">
            <v>Gulamo-00002</v>
          </cell>
          <cell r="B8" t="str">
            <v>GULA00002</v>
          </cell>
          <cell r="C8" t="str">
            <v>GULAMO</v>
          </cell>
          <cell r="D8" t="str">
            <v>Balam</v>
          </cell>
          <cell r="E8">
            <v>300</v>
          </cell>
          <cell r="F8">
            <v>300</v>
          </cell>
          <cell r="G8">
            <v>0.64926872740180996</v>
          </cell>
          <cell r="H8">
            <v>411.89210320000001</v>
          </cell>
          <cell r="I8">
            <v>168.65127701158201</v>
          </cell>
          <cell r="J8">
            <v>0.12</v>
          </cell>
          <cell r="K8">
            <v>656</v>
          </cell>
          <cell r="L8">
            <v>0.46839573750621599</v>
          </cell>
          <cell r="M8">
            <v>481.25</v>
          </cell>
          <cell r="N8">
            <v>1.1993932052298437</v>
          </cell>
          <cell r="O8">
            <v>7944.8100712965597</v>
          </cell>
          <cell r="P8">
            <v>6159.9628067608965</v>
          </cell>
          <cell r="Q8">
            <v>6.6866004896640907E-2</v>
          </cell>
          <cell r="R8">
            <v>1231.9925613521793</v>
          </cell>
          <cell r="S8">
            <v>820.10045815217927</v>
          </cell>
          <cell r="T8">
            <v>168.65127701158201</v>
          </cell>
          <cell r="U8" t="str">
            <v>Rokan</v>
          </cell>
          <cell r="V8">
            <v>2771.2</v>
          </cell>
          <cell r="W8">
            <v>2675.4196195885802</v>
          </cell>
          <cell r="X8">
            <v>83</v>
          </cell>
          <cell r="Y8">
            <v>17</v>
          </cell>
          <cell r="Z8">
            <v>0.32037697969586698</v>
          </cell>
          <cell r="AA8">
            <v>0.32037697969586698</v>
          </cell>
          <cell r="AB8">
            <v>4</v>
          </cell>
          <cell r="AC8">
            <v>4</v>
          </cell>
          <cell r="AD8">
            <v>5</v>
          </cell>
          <cell r="AE8">
            <v>5</v>
          </cell>
          <cell r="AF8">
            <v>5</v>
          </cell>
          <cell r="AG8">
            <v>2</v>
          </cell>
          <cell r="AH8">
            <v>4.05</v>
          </cell>
          <cell r="AI8">
            <v>0.35</v>
          </cell>
          <cell r="AJ8" t="str">
            <v>Tier 2 - subsurface / integrity review</v>
          </cell>
          <cell r="AK8" t="str">
            <v>SHUT IN</v>
          </cell>
          <cell r="AL8" t="str">
            <v>Open Hole</v>
          </cell>
          <cell r="AM8" t="str">
            <v>ESP</v>
          </cell>
          <cell r="AN8" t="str">
            <v>PRESSURE TEST@ 4126 &amp; 5159 Item O</v>
          </cell>
          <cell r="AO8" t="str">
            <v>Le&amp;</v>
          </cell>
          <cell r="AP8" t="str">
            <v>Wellhead</v>
          </cell>
          <cell r="AQ8" t="str">
            <v>Well source folder found; digital-group classification absent</v>
          </cell>
          <cell r="AR8" t="str">
            <v>No standard-group gap identified in database</v>
          </cell>
          <cell r="AS8" t="str">
            <v>No usable 6_Prod workbook after recursive search</v>
          </cell>
          <cell r="AT8" t="str">
            <v>field+well-number; Value completion uses No digital LAS found after recursive source search; Candidate mapped to source well</v>
          </cell>
          <cell r="AU8" t="str">
            <v>No digital LAS found after recursive source search</v>
          </cell>
          <cell r="AV8">
            <v>0</v>
          </cell>
          <cell r="AW8">
            <v>0</v>
          </cell>
          <cell r="AX8">
            <v>0</v>
          </cell>
          <cell r="AY8" t="str">
            <v>Not calculable - no usable digital LAS</v>
          </cell>
          <cell r="AZ8" t="str">
            <v>Not calculable - no usable digital LAS</v>
          </cell>
          <cell r="BA8" t="str">
            <v>Not calculable - no usable digital LAS</v>
          </cell>
          <cell r="BB8" t="str">
            <v>Not calculable - no usable digital LAS</v>
          </cell>
          <cell r="BC8" t="str">
            <v>Not calculable - no usable digital LAS</v>
          </cell>
          <cell r="BD8" t="str">
            <v>Not calculable - no usable digital LAS</v>
          </cell>
          <cell r="BE8">
            <v>0</v>
          </cell>
          <cell r="BF8" t="str">
            <v>No digital LAS found after recursive source search</v>
          </cell>
          <cell r="BG8" t="str">
            <v>No usable digital LAS source</v>
          </cell>
          <cell r="BH8" t="str">
            <v>No numeric trajectory source</v>
          </cell>
          <cell r="BI8" t="str">
            <v>No numeric inclination survey</v>
          </cell>
          <cell r="BJ8" t="str">
            <v>No numeric deviation proof</v>
          </cell>
          <cell r="BK8" t="str">
            <v>No coordinate evidence in source/LAS</v>
          </cell>
          <cell r="BL8" t="str">
            <v>No coordinate evidence in source/LAS</v>
          </cell>
          <cell r="BM8" t="str">
            <v>No coordinate evidence in source/LAS</v>
          </cell>
          <cell r="BN8" t="str">
            <v>No coordinate evidence in source/LAS</v>
          </cell>
          <cell r="BO8" t="str">
            <v>No coordinate evidence after source and LAS-header search</v>
          </cell>
        </row>
        <row r="9">
          <cell r="A9" t="str">
            <v>Kelok-00002</v>
          </cell>
          <cell r="B9" t="str">
            <v>KELO00002D1</v>
          </cell>
          <cell r="C9" t="str">
            <v>KELOK</v>
          </cell>
          <cell r="D9" t="str">
            <v>Balam</v>
          </cell>
          <cell r="E9">
            <v>446.50958333333301</v>
          </cell>
          <cell r="F9">
            <v>2407.1946666666699</v>
          </cell>
          <cell r="G9">
            <v>0.80268398365384896</v>
          </cell>
          <cell r="H9">
            <v>2530.8111275000001</v>
          </cell>
          <cell r="I9">
            <v>203.03880634916101</v>
          </cell>
          <cell r="J9">
            <v>0.2235</v>
          </cell>
          <cell r="K9">
            <v>656</v>
          </cell>
          <cell r="L9">
            <v>0.43990348880470298</v>
          </cell>
          <cell r="M9">
            <v>1335.5</v>
          </cell>
          <cell r="N9">
            <v>1.1993932052298437</v>
          </cell>
          <cell r="O9">
            <v>43264.069106614297</v>
          </cell>
          <cell r="P9">
            <v>33544.547216895815</v>
          </cell>
          <cell r="Q9">
            <v>7.5446274803950067E-2</v>
          </cell>
          <cell r="R9">
            <v>6708.9094433791633</v>
          </cell>
          <cell r="S9">
            <v>4178.0983158791632</v>
          </cell>
          <cell r="T9">
            <v>203.03880634916101</v>
          </cell>
          <cell r="U9" t="str">
            <v>Rokan</v>
          </cell>
          <cell r="V9">
            <v>1654.6661999999999</v>
          </cell>
          <cell r="W9">
            <v>1590.1377091494101</v>
          </cell>
          <cell r="X9">
            <v>7</v>
          </cell>
          <cell r="Y9">
            <v>2</v>
          </cell>
          <cell r="Z9">
            <v>4.1565477361047503</v>
          </cell>
          <cell r="AA9">
            <v>0.80228376405781898</v>
          </cell>
          <cell r="AB9">
            <v>4</v>
          </cell>
          <cell r="AC9">
            <v>4</v>
          </cell>
          <cell r="AD9">
            <v>5</v>
          </cell>
          <cell r="AE9">
            <v>5</v>
          </cell>
          <cell r="AF9">
            <v>5</v>
          </cell>
          <cell r="AG9">
            <v>3</v>
          </cell>
          <cell r="AH9">
            <v>4.2</v>
          </cell>
          <cell r="AI9">
            <v>0.8</v>
          </cell>
          <cell r="AJ9" t="str">
            <v>Tier 1 - validate for reactivation</v>
          </cell>
          <cell r="AK9" t="str">
            <v>POP</v>
          </cell>
          <cell r="AL9" t="str">
            <v>Open Hole</v>
          </cell>
          <cell r="AM9" t="str">
            <v>ESP</v>
          </cell>
          <cell r="AN9" t="str">
            <v>good</v>
          </cell>
          <cell r="AO9" t="str">
            <v>WELL NOT pop YEr DUE TO CHANGE our swrrcHBOARD</v>
          </cell>
          <cell r="AP9" t="str">
            <v>Wellhead</v>
          </cell>
          <cell r="AQ9" t="str">
            <v>Well source folder found; digital-group classification absent</v>
          </cell>
          <cell r="AR9" t="str">
            <v>No standard-group gap identified in database</v>
          </cell>
          <cell r="AS9" t="str">
            <v>D:\HALLIBURTON CONSULTING\Data Nations\Zona Rokan\KELOK\KELO00002D1\6_Prod\ProdHist_KELO00002.xlsx</v>
          </cell>
          <cell r="AT9" t="str">
            <v>field+well-number; Value completion uses Formation evaluation completed; Candidate mapped to source well</v>
          </cell>
          <cell r="AU9" t="str">
            <v>NZBP SCREENING CANDIDATE</v>
          </cell>
          <cell r="AV9">
            <v>10</v>
          </cell>
          <cell r="AW9">
            <v>251.17594321898778</v>
          </cell>
          <cell r="AX9">
            <v>50.235188643797557</v>
          </cell>
          <cell r="AY9">
            <v>4804.5</v>
          </cell>
          <cell r="AZ9">
            <v>4810.5</v>
          </cell>
          <cell r="BA9">
            <v>3821.4</v>
          </cell>
          <cell r="BB9">
            <v>3821.4</v>
          </cell>
          <cell r="BC9">
            <v>6.5</v>
          </cell>
          <cell r="BD9">
            <v>79.099999999999994</v>
          </cell>
          <cell r="BE9">
            <v>5</v>
          </cell>
          <cell r="BF9" t="str">
            <v>Formation evaluation completed</v>
          </cell>
          <cell r="BG9" t="str">
            <v>D:\HALLIBURTON CONSULTING\Data Nations\Zona Rokan\KELOK\KELO00002D1\5_Well_Log_Raw\149691243_KELO00002D1_T_002124_0.las</v>
          </cell>
          <cell r="BH9" t="str">
            <v>Numeric survey TVD</v>
          </cell>
          <cell r="BI9">
            <v>25.4</v>
          </cell>
          <cell r="BJ9" t="str">
            <v>Deviated numeric survey</v>
          </cell>
          <cell r="BK9" t="str">
            <v>No coordinate evidence in source/LAS</v>
          </cell>
          <cell r="BL9" t="str">
            <v>No coordinate evidence in source/LAS</v>
          </cell>
          <cell r="BM9" t="str">
            <v>No coordinate evidence in source/LAS</v>
          </cell>
          <cell r="BN9" t="str">
            <v>No coordinate evidence in source/LAS</v>
          </cell>
          <cell r="BO9" t="str">
            <v>No coordinate evidence after source and LAS-header search</v>
          </cell>
        </row>
        <row r="10">
          <cell r="A10" t="str">
            <v>Kelok-00007</v>
          </cell>
          <cell r="B10" t="str">
            <v>KELO00007D1</v>
          </cell>
          <cell r="C10" t="str">
            <v>KELOK</v>
          </cell>
          <cell r="D10" t="str">
            <v>Balam</v>
          </cell>
          <cell r="E10">
            <v>1814.88666666667</v>
          </cell>
          <cell r="F10">
            <v>2304.19266666667</v>
          </cell>
          <cell r="G10">
            <v>0.72930995252544895</v>
          </cell>
          <cell r="H10">
            <v>873.83749969999997</v>
          </cell>
          <cell r="I10">
            <v>908.30192435940796</v>
          </cell>
          <cell r="J10">
            <v>0.2024</v>
          </cell>
          <cell r="K10">
            <v>656</v>
          </cell>
          <cell r="L10">
            <v>0.64359999999999995</v>
          </cell>
          <cell r="M10">
            <v>1045.5</v>
          </cell>
          <cell r="N10">
            <v>1.1993932052298437</v>
          </cell>
          <cell r="O10">
            <v>19517.1013338663</v>
          </cell>
          <cell r="P10">
            <v>15132.472297450386</v>
          </cell>
          <cell r="Q10">
            <v>5.7745851604646889E-2</v>
          </cell>
          <cell r="R10">
            <v>3026.4944594900771</v>
          </cell>
          <cell r="S10">
            <v>2152.6569597900771</v>
          </cell>
          <cell r="T10">
            <v>908.30192435940796</v>
          </cell>
          <cell r="U10" t="str">
            <v>Rokan</v>
          </cell>
          <cell r="V10">
            <v>2258.7444999999998</v>
          </cell>
          <cell r="W10">
            <v>2191.3241178241501</v>
          </cell>
          <cell r="X10">
            <v>90.75</v>
          </cell>
          <cell r="Y10">
            <v>90.75</v>
          </cell>
          <cell r="Z10">
            <v>2.91463138883022</v>
          </cell>
          <cell r="AA10">
            <v>2.3663274793594899</v>
          </cell>
          <cell r="AB10">
            <v>5</v>
          </cell>
          <cell r="AC10">
            <v>5</v>
          </cell>
          <cell r="AD10">
            <v>5</v>
          </cell>
          <cell r="AE10">
            <v>5</v>
          </cell>
          <cell r="AF10">
            <v>1</v>
          </cell>
          <cell r="AG10">
            <v>5</v>
          </cell>
          <cell r="AH10">
            <v>4.4000000000000004</v>
          </cell>
          <cell r="AI10">
            <v>0.8</v>
          </cell>
          <cell r="AJ10" t="str">
            <v>Tier 1 - validate for reactivation</v>
          </cell>
          <cell r="AK10" t="str">
            <v>POP</v>
          </cell>
          <cell r="AL10" t="str">
            <v>OPEN HOLE</v>
          </cell>
          <cell r="AM10" t="str">
            <v>ESP</v>
          </cell>
          <cell r="AN10" t="str">
            <v>DATE :12 JUN 2004. | 2. PERFORATION INTERVAL :3146'-3152'(6'), 5182'-5190' (8’)</v>
          </cell>
          <cell r="AO10" t="str">
            <v>PRISE ABest VT 0</v>
          </cell>
          <cell r="AP10" t="str">
            <v>WELLHEAD</v>
          </cell>
          <cell r="AQ10" t="str">
            <v>Well source folder found; digital-group classification absent</v>
          </cell>
          <cell r="AR10" t="str">
            <v>No standard-group gap identified in database</v>
          </cell>
          <cell r="AS10" t="str">
            <v>D:\HALLIBURTON CONSULTING\Data Nations\Zona Rokan\KELOK\KELO00007D1\6_Prod\ProdHist_KELO00007.xlsx</v>
          </cell>
          <cell r="AT10" t="str">
            <v>field+well-number; Value completion uses Formation evaluation completed; Candidate mapped to source well</v>
          </cell>
          <cell r="AU10" t="str">
            <v>NZBP SCREENING CANDIDATE</v>
          </cell>
          <cell r="AV10">
            <v>14</v>
          </cell>
          <cell r="AW10">
            <v>202.63473186447195</v>
          </cell>
          <cell r="AX10">
            <v>40.526946372894393</v>
          </cell>
          <cell r="AY10">
            <v>5216.5</v>
          </cell>
          <cell r="AZ10">
            <v>5247.5</v>
          </cell>
          <cell r="BA10">
            <v>5216.5</v>
          </cell>
          <cell r="BB10">
            <v>5247.5</v>
          </cell>
          <cell r="BC10">
            <v>31.5</v>
          </cell>
          <cell r="BD10">
            <v>70</v>
          </cell>
          <cell r="BE10">
            <v>2</v>
          </cell>
          <cell r="BF10" t="str">
            <v>Formation evaluation completed</v>
          </cell>
          <cell r="BG10" t="str">
            <v>D:\HALLIBURTON CONSULTING\Data Nations\Zona Rokan\KELOK\KELO00007D1\5_Well_Log_Raw\149732256_KELO00007D1_T_171755_0.las</v>
          </cell>
          <cell r="BH10" t="str">
            <v>MD used as TVD; no numeric deviation survey found</v>
          </cell>
          <cell r="BI10">
            <v>0</v>
          </cell>
          <cell r="BJ10" t="str">
            <v>No numeric horizontal proof</v>
          </cell>
          <cell r="BK10" t="str">
            <v>No coordinate evidence in source/LAS</v>
          </cell>
          <cell r="BL10" t="str">
            <v>No coordinate evidence in source/LAS</v>
          </cell>
          <cell r="BM10" t="str">
            <v>No coordinate evidence in source/LAS</v>
          </cell>
          <cell r="BN10" t="str">
            <v>No coordinate evidence in source/LAS</v>
          </cell>
          <cell r="BO10" t="str">
            <v>No coordinate evidence after source and LAS-header search</v>
          </cell>
        </row>
        <row r="11">
          <cell r="A11" t="str">
            <v>Kelok-00008</v>
          </cell>
          <cell r="B11" t="str">
            <v>KELO00008D1</v>
          </cell>
          <cell r="C11" t="str">
            <v>KELOK</v>
          </cell>
          <cell r="D11" t="str">
            <v>Balam</v>
          </cell>
          <cell r="E11">
            <v>326.23142857142898</v>
          </cell>
          <cell r="F11">
            <v>1153.6766666666699</v>
          </cell>
          <cell r="G11">
            <v>0.72930995252544895</v>
          </cell>
          <cell r="H11">
            <v>725.45523720000006</v>
          </cell>
          <cell r="I11">
            <v>163.27004864837099</v>
          </cell>
          <cell r="J11">
            <v>0.32465240641711202</v>
          </cell>
          <cell r="K11">
            <v>656</v>
          </cell>
          <cell r="L11">
            <v>0.39658092286845198</v>
          </cell>
          <cell r="M11">
            <v>453.5</v>
          </cell>
          <cell r="N11">
            <v>1.1993932052298437</v>
          </cell>
          <cell r="O11">
            <v>22991.008942329699</v>
          </cell>
          <cell r="P11">
            <v>17825.9465869831</v>
          </cell>
          <cell r="Q11">
            <v>4.0696589864671957E-2</v>
          </cell>
          <cell r="R11">
            <v>3565.18931739662</v>
          </cell>
          <cell r="S11">
            <v>2839.7340801966202</v>
          </cell>
          <cell r="T11">
            <v>163.27004864837099</v>
          </cell>
          <cell r="U11" t="str">
            <v>Rokan</v>
          </cell>
          <cell r="V11">
            <v>1497.3140000000001</v>
          </cell>
          <cell r="W11">
            <v>1465.8166355082999</v>
          </cell>
          <cell r="X11">
            <v>46.875</v>
          </cell>
          <cell r="Y11">
            <v>46.875</v>
          </cell>
          <cell r="Z11">
            <v>2.2014213769583701</v>
          </cell>
          <cell r="AA11">
            <v>0.635884307313206</v>
          </cell>
          <cell r="AB11">
            <v>4</v>
          </cell>
          <cell r="AC11">
            <v>4</v>
          </cell>
          <cell r="AD11">
            <v>5</v>
          </cell>
          <cell r="AE11">
            <v>5</v>
          </cell>
          <cell r="AF11">
            <v>4</v>
          </cell>
          <cell r="AG11">
            <v>3</v>
          </cell>
          <cell r="AH11">
            <v>4.05</v>
          </cell>
          <cell r="AI11">
            <v>0.8</v>
          </cell>
          <cell r="AJ11" t="str">
            <v>Tier 1 - validate for reactivation</v>
          </cell>
          <cell r="AK11" t="str">
            <v>POP</v>
          </cell>
          <cell r="AL11" t="str">
            <v>Open Hole</v>
          </cell>
          <cell r="AM11" t="str">
            <v>ESP</v>
          </cell>
          <cell r="AN11" t="str">
            <v>Pressure Test &lt;10 Level 2</v>
          </cell>
          <cell r="AO11" t="str">
            <v>Shut in well for 6 hours</v>
          </cell>
          <cell r="AP11" t="str">
            <v>Manifold</v>
          </cell>
          <cell r="AQ11" t="str">
            <v>Well source folder found; digital-group classification absent</v>
          </cell>
          <cell r="AR11" t="str">
            <v>No standard-group gap identified in database</v>
          </cell>
          <cell r="AS11" t="str">
            <v>D:\HALLIBURTON CONSULTING\Data Nations\Zona Rokan\KELOK\KELO00008D1\6_Prod\ProdHist_KELO00008.xlsx</v>
          </cell>
          <cell r="AT11" t="str">
            <v>field+well-number; Value completion uses Formation evaluation completed; Candidate mapped to source well</v>
          </cell>
          <cell r="AU11" t="str">
            <v>NZBP SCREENING CANDIDATE</v>
          </cell>
          <cell r="AV11">
            <v>26</v>
          </cell>
          <cell r="AW11">
            <v>1021.9947326605526</v>
          </cell>
          <cell r="AX11">
            <v>204.39894653211053</v>
          </cell>
          <cell r="AY11">
            <v>3458</v>
          </cell>
          <cell r="AZ11">
            <v>3479.5</v>
          </cell>
          <cell r="BA11">
            <v>3458</v>
          </cell>
          <cell r="BB11">
            <v>3479.5</v>
          </cell>
          <cell r="BC11">
            <v>22</v>
          </cell>
          <cell r="BD11">
            <v>88.8</v>
          </cell>
          <cell r="BE11">
            <v>1</v>
          </cell>
          <cell r="BF11" t="str">
            <v>Formation evaluation completed</v>
          </cell>
          <cell r="BG11" t="str">
            <v>D:\HALLIBURTON CONSULTING\Data Nations\Zona Rokan\KELOK\KELO00008D1\5_Well_Log_Raw\149742478_KELO00008D1_T_050746_0.las</v>
          </cell>
          <cell r="BH11" t="str">
            <v>MD used as TVD; no numeric deviation survey found</v>
          </cell>
          <cell r="BI11">
            <v>0</v>
          </cell>
          <cell r="BJ11" t="str">
            <v>No numeric horizontal proof</v>
          </cell>
          <cell r="BK11" t="str">
            <v>No coordinate evidence in source/LAS</v>
          </cell>
          <cell r="BL11" t="str">
            <v>No coordinate evidence in source/LAS</v>
          </cell>
          <cell r="BM11" t="str">
            <v>No coordinate evidence in source/LAS</v>
          </cell>
          <cell r="BN11" t="str">
            <v>No coordinate evidence in source/LAS</v>
          </cell>
          <cell r="BO11" t="str">
            <v>No coordinate evidence after source and LAS-header search</v>
          </cell>
        </row>
        <row r="12">
          <cell r="A12" t="str">
            <v>Kelok-00009</v>
          </cell>
          <cell r="B12" t="str">
            <v>KELO00009D1</v>
          </cell>
          <cell r="C12" t="str">
            <v>KELOK</v>
          </cell>
          <cell r="D12" t="str">
            <v>Balam</v>
          </cell>
          <cell r="E12">
            <v>52.004615384615398</v>
          </cell>
          <cell r="F12">
            <v>243.99520000000001</v>
          </cell>
          <cell r="G12">
            <v>0.55178021502230401</v>
          </cell>
          <cell r="H12">
            <v>235.7706886</v>
          </cell>
          <cell r="I12">
            <v>34.400806876733199</v>
          </cell>
          <cell r="J12">
            <v>0.317700534759358</v>
          </cell>
          <cell r="K12">
            <v>656</v>
          </cell>
          <cell r="L12">
            <v>0.377595402154839</v>
          </cell>
          <cell r="M12">
            <v>89.800000000326705</v>
          </cell>
          <cell r="N12">
            <v>1.1993932052298437</v>
          </cell>
          <cell r="O12">
            <v>4595.2606585777503</v>
          </cell>
          <cell r="P12">
            <v>3562.9089292490685</v>
          </cell>
          <cell r="Q12">
            <v>6.6173650037608986E-2</v>
          </cell>
          <cell r="R12">
            <v>712.58178584981374</v>
          </cell>
          <cell r="S12">
            <v>476.81109724981377</v>
          </cell>
          <cell r="T12">
            <v>34.400806876733199</v>
          </cell>
          <cell r="U12" t="str">
            <v>Rokan</v>
          </cell>
          <cell r="V12">
            <v>1460.942</v>
          </cell>
          <cell r="W12">
            <v>1410.9706161567101</v>
          </cell>
          <cell r="X12">
            <v>14</v>
          </cell>
          <cell r="Y12">
            <v>3</v>
          </cell>
          <cell r="Z12">
            <v>0.477177836530912</v>
          </cell>
          <cell r="AA12">
            <v>0.105306668815925</v>
          </cell>
          <cell r="AB12">
            <v>3</v>
          </cell>
          <cell r="AC12">
            <v>2</v>
          </cell>
          <cell r="AD12">
            <v>4</v>
          </cell>
          <cell r="AE12">
            <v>5</v>
          </cell>
          <cell r="AF12">
            <v>5</v>
          </cell>
          <cell r="AG12">
            <v>1</v>
          </cell>
          <cell r="AH12">
            <v>3.15</v>
          </cell>
          <cell r="AI12">
            <v>0.8</v>
          </cell>
          <cell r="AJ12" t="str">
            <v>Tier 1 - validate for reactivation</v>
          </cell>
          <cell r="AK12" t="str">
            <v>POP</v>
          </cell>
          <cell r="AL12" t="str">
            <v>Open Hole</v>
          </cell>
          <cell r="AM12" t="str">
            <v>SRP</v>
          </cell>
          <cell r="AN12" t="str">
            <v>Pressure Test Summary</v>
          </cell>
          <cell r="AO12" t="str">
            <v>WELL NOT POP YET DUE TO SURFACE FACILItFf$</v>
          </cell>
          <cell r="AP12" t="str">
            <v>WellHead</v>
          </cell>
          <cell r="AQ12" t="str">
            <v>Well source folder found; digital-group classification absent</v>
          </cell>
          <cell r="AR12" t="str">
            <v>No standard-group gap identified in database</v>
          </cell>
          <cell r="AS12" t="str">
            <v>D:\HALLIBURTON CONSULTING\Data Nations\Zona Rokan\KELOK\KELO00009D1\6_Prod\ProdHist_KELO00009.xlsx</v>
          </cell>
          <cell r="AT12" t="str">
            <v>field+well-number; Value completion uses Formation evaluation completed; Candidate mapped to source well</v>
          </cell>
          <cell r="AU12" t="str">
            <v>No qualifying &gt;=5 ft NZBP interval in interpreted LAS</v>
          </cell>
          <cell r="AV12">
            <v>0</v>
          </cell>
          <cell r="AW12">
            <v>0</v>
          </cell>
          <cell r="AX12">
            <v>0</v>
          </cell>
          <cell r="AY12" t="str">
            <v>No qualifying &gt;=5 ft interval</v>
          </cell>
          <cell r="AZ12" t="str">
            <v>No qualifying &gt;=5 ft interval</v>
          </cell>
          <cell r="BA12" t="str">
            <v>No qualifying &gt;=5 ft interval</v>
          </cell>
          <cell r="BB12" t="str">
            <v>No qualifying &gt;=5 ft interval</v>
          </cell>
          <cell r="BC12" t="str">
            <v>No qualifying &gt;=5 ft interval</v>
          </cell>
          <cell r="BD12" t="str">
            <v>No qualifying &gt;=5 ft interval</v>
          </cell>
          <cell r="BE12">
            <v>2</v>
          </cell>
          <cell r="BF12" t="str">
            <v>Formation evaluation completed</v>
          </cell>
          <cell r="BG12" t="str">
            <v>D:\HALLIBURTON CONSULTING\Data Nations\Zona Rokan\KELOK\KELO00009D1\5_Well_Log_Raw\149747597_KELO00009D1_T_031908_0.las</v>
          </cell>
          <cell r="BH12" t="str">
            <v>MD used as TVD; no numeric deviation survey found</v>
          </cell>
          <cell r="BI12">
            <v>0</v>
          </cell>
          <cell r="BJ12" t="str">
            <v>No numeric horizontal proof</v>
          </cell>
          <cell r="BK12" t="str">
            <v>No coordinate evidence in source/LAS</v>
          </cell>
          <cell r="BL12" t="str">
            <v>No coordinate evidence in source/LAS</v>
          </cell>
          <cell r="BM12" t="str">
            <v>No coordinate evidence in source/LAS</v>
          </cell>
          <cell r="BN12" t="str">
            <v>No coordinate evidence in source/LAS</v>
          </cell>
          <cell r="BO12" t="str">
            <v>No coordinate evidence after source and LAS-header search</v>
          </cell>
        </row>
        <row r="13">
          <cell r="A13" t="str">
            <v>Pager-00006</v>
          </cell>
          <cell r="B13" t="str">
            <v>PAGE00006</v>
          </cell>
          <cell r="C13" t="str">
            <v>PAGER</v>
          </cell>
          <cell r="D13" t="str">
            <v>Balam</v>
          </cell>
          <cell r="E13">
            <v>1406</v>
          </cell>
          <cell r="F13">
            <v>1883.2758620689699</v>
          </cell>
          <cell r="G13">
            <v>0.64926872740180996</v>
          </cell>
          <cell r="H13">
            <v>1040.749</v>
          </cell>
          <cell r="I13">
            <v>790.41231826094702</v>
          </cell>
          <cell r="J13">
            <v>0.16520000000000001</v>
          </cell>
          <cell r="K13">
            <v>820</v>
          </cell>
          <cell r="L13">
            <v>0.27489999999999998</v>
          </cell>
          <cell r="M13">
            <v>193.5</v>
          </cell>
          <cell r="N13">
            <v>1.1993932052298437</v>
          </cell>
          <cell r="O13">
            <v>5998.3526354636597</v>
          </cell>
          <cell r="P13">
            <v>7266.8566029086769</v>
          </cell>
          <cell r="Q13">
            <v>0.14321859599973713</v>
          </cell>
          <cell r="R13">
            <v>1453.3713205817355</v>
          </cell>
          <cell r="S13">
            <v>412.62232058173549</v>
          </cell>
          <cell r="T13">
            <v>790.41231826094702</v>
          </cell>
          <cell r="U13" t="str">
            <v>Rokan</v>
          </cell>
          <cell r="V13">
            <v>1734.165</v>
          </cell>
          <cell r="W13">
            <v>1533.57320429991</v>
          </cell>
          <cell r="X13">
            <v>10</v>
          </cell>
          <cell r="Y13">
            <v>10</v>
          </cell>
          <cell r="Z13">
            <v>3.1028121184200499</v>
          </cell>
          <cell r="AA13">
            <v>2.61946599345853</v>
          </cell>
          <cell r="AB13">
            <v>5</v>
          </cell>
          <cell r="AC13">
            <v>5</v>
          </cell>
          <cell r="AD13">
            <v>4</v>
          </cell>
          <cell r="AE13">
            <v>5</v>
          </cell>
          <cell r="AF13">
            <v>5</v>
          </cell>
          <cell r="AG13">
            <v>5</v>
          </cell>
          <cell r="AH13">
            <v>5</v>
          </cell>
          <cell r="AI13">
            <v>0.8</v>
          </cell>
          <cell r="AJ13" t="str">
            <v>Tier 1 - validate for reactivation</v>
          </cell>
          <cell r="AK13" t="str">
            <v>SHUT IN</v>
          </cell>
          <cell r="AL13" t="str">
            <v>COMPLETION REPORT</v>
          </cell>
          <cell r="AM13" t="str">
            <v>ESP</v>
          </cell>
          <cell r="AN13" t="str">
            <v>good</v>
          </cell>
          <cell r="AO13" t="str">
            <v>ASOLATE MV 2 8970</v>
          </cell>
          <cell r="AP13" t="str">
            <v>WELLHEAD</v>
          </cell>
          <cell r="AQ13" t="str">
            <v>Well source folder found; digital-group classification absent</v>
          </cell>
          <cell r="AR13" t="str">
            <v>No standard-group gap identified in database</v>
          </cell>
          <cell r="AS13" t="str">
            <v>D:\HALLIBURTON CONSULTING\Data Nations\Zona Rokan\PAGER\PAGE00006\6_Prod\ProdHist_PAGE00006.xlsx</v>
          </cell>
          <cell r="AT13" t="str">
            <v>field+well-number; Value completion uses Formation evaluation completed; Candidate mapped to source well</v>
          </cell>
          <cell r="AU13" t="str">
            <v>NZBP SCREENING CANDIDATE</v>
          </cell>
          <cell r="AV13">
            <v>14</v>
          </cell>
          <cell r="AW13">
            <v>525.76740279442629</v>
          </cell>
          <cell r="AX13">
            <v>105.15348055888526</v>
          </cell>
          <cell r="AY13">
            <v>4005</v>
          </cell>
          <cell r="AZ13">
            <v>4019</v>
          </cell>
          <cell r="BA13">
            <v>4005</v>
          </cell>
          <cell r="BB13">
            <v>4019</v>
          </cell>
          <cell r="BC13">
            <v>14.5</v>
          </cell>
          <cell r="BD13">
            <v>81.8</v>
          </cell>
          <cell r="BE13">
            <v>1</v>
          </cell>
          <cell r="BF13" t="str">
            <v>Formation evaluation completed</v>
          </cell>
          <cell r="BG13" t="str">
            <v>D:\HALLIBURTON CONSULTING\Data Nations\Zona Rokan\PAGER\PAGE00006\5_Well_Log_Raw\162369828_PAGE00006_T_123144_0.las</v>
          </cell>
          <cell r="BH13" t="str">
            <v>MD used as TVD; no numeric deviation survey found</v>
          </cell>
          <cell r="BI13">
            <v>0</v>
          </cell>
          <cell r="BJ13" t="str">
            <v>No numeric horizontal proof</v>
          </cell>
          <cell r="BK13" t="str">
            <v>No coordinate evidence in source/LAS</v>
          </cell>
          <cell r="BL13" t="str">
            <v>No coordinate evidence in source/LAS</v>
          </cell>
          <cell r="BM13" t="str">
            <v>No coordinate evidence in source/LAS</v>
          </cell>
          <cell r="BN13" t="str">
            <v>No coordinate evidence in source/LAS</v>
          </cell>
          <cell r="BO13" t="str">
            <v>No coordinate evidence after source and LAS-header search</v>
          </cell>
        </row>
        <row r="14">
          <cell r="A14" t="str">
            <v>Pager-00013</v>
          </cell>
          <cell r="B14" t="str">
            <v>PAGE00013</v>
          </cell>
          <cell r="C14" t="str">
            <v>PAGER</v>
          </cell>
          <cell r="D14" t="str">
            <v>Balam</v>
          </cell>
          <cell r="E14">
            <v>2924.9444444444398</v>
          </cell>
          <cell r="F14">
            <v>2940.3928571428601</v>
          </cell>
          <cell r="G14">
            <v>0.64926872740180996</v>
          </cell>
          <cell r="H14">
            <v>1215.567</v>
          </cell>
          <cell r="I14">
            <v>1644.3187191449599</v>
          </cell>
          <cell r="J14">
            <v>0.18770000000000001</v>
          </cell>
          <cell r="K14">
            <v>820</v>
          </cell>
          <cell r="L14">
            <v>0.24149999999999999</v>
          </cell>
          <cell r="M14">
            <v>213.5</v>
          </cell>
          <cell r="N14">
            <v>1.1993932052298437</v>
          </cell>
          <cell r="O14">
            <v>7866.1244558858998</v>
          </cell>
          <cell r="P14">
            <v>9529.6161988878139</v>
          </cell>
          <cell r="Q14">
            <v>0.12755676352861586</v>
          </cell>
          <cell r="R14">
            <v>1905.9232397775629</v>
          </cell>
          <cell r="S14">
            <v>690.35623977756291</v>
          </cell>
          <cell r="T14">
            <v>1644.3187191449599</v>
          </cell>
          <cell r="U14" t="str">
            <v>Rokan</v>
          </cell>
          <cell r="V14">
            <v>1824.662</v>
          </cell>
          <cell r="W14">
            <v>1636.6830339248399</v>
          </cell>
          <cell r="X14">
            <v>10</v>
          </cell>
          <cell r="Y14">
            <v>10</v>
          </cell>
          <cell r="Z14">
            <v>5.10604921891548</v>
          </cell>
          <cell r="AA14">
            <v>5.10604921891548</v>
          </cell>
          <cell r="AB14">
            <v>5</v>
          </cell>
          <cell r="AC14">
            <v>5</v>
          </cell>
          <cell r="AD14">
            <v>5</v>
          </cell>
          <cell r="AE14">
            <v>5</v>
          </cell>
          <cell r="AF14">
            <v>5</v>
          </cell>
          <cell r="AG14">
            <v>5</v>
          </cell>
          <cell r="AH14">
            <v>5</v>
          </cell>
          <cell r="AI14">
            <v>0.8</v>
          </cell>
          <cell r="AJ14" t="str">
            <v>Tier 1 - validate for reactivation</v>
          </cell>
          <cell r="AK14" t="str">
            <v>SHUT IN</v>
          </cell>
          <cell r="AL14" t="str">
            <v>COMPLETION REPORT</v>
          </cell>
          <cell r="AM14" t="str">
            <v>ESP</v>
          </cell>
          <cell r="AN14" t="str">
            <v>suspect</v>
          </cell>
          <cell r="AO14" t="str">
            <v>ASOLATE MV 2 8970</v>
          </cell>
          <cell r="AP14" t="str">
            <v>WELLHEAD</v>
          </cell>
          <cell r="AQ14" t="str">
            <v>Well source folder found; digital-group classification absent</v>
          </cell>
          <cell r="AR14" t="str">
            <v>No standard-group gap identified in database</v>
          </cell>
          <cell r="AS14" t="str">
            <v>D:\HALLIBURTON CONSULTING\Data Nations\Zona Rokan\PAGER\PAGE00013\6_Prod\ProdHist_PAGE00013.xlsx</v>
          </cell>
          <cell r="AT14" t="str">
            <v>field+well-number; Value completion uses Formation evaluation completed; Candidate mapped to source well</v>
          </cell>
          <cell r="AU14" t="str">
            <v>NZBP SCREENING CANDIDATE</v>
          </cell>
          <cell r="AV14">
            <v>12</v>
          </cell>
          <cell r="AW14">
            <v>535.62245614357732</v>
          </cell>
          <cell r="AX14">
            <v>107.12449122871547</v>
          </cell>
          <cell r="AY14">
            <v>4214</v>
          </cell>
          <cell r="AZ14">
            <v>4221.5</v>
          </cell>
          <cell r="BA14">
            <v>4214</v>
          </cell>
          <cell r="BB14">
            <v>4221.5</v>
          </cell>
          <cell r="BC14">
            <v>8</v>
          </cell>
          <cell r="BD14">
            <v>77.900000000000006</v>
          </cell>
          <cell r="BE14">
            <v>7</v>
          </cell>
          <cell r="BF14" t="str">
            <v>Formation evaluation completed</v>
          </cell>
          <cell r="BG14" t="str">
            <v>D:\HALLIBURTON CONSULTING\Data Nations\Zona Rokan\PAGER\PAGE00013\5_Well_Log_Raw\162439739_PAGE00013_T_123136_0.las</v>
          </cell>
          <cell r="BH14" t="str">
            <v>MD used as TVD; no numeric deviation survey found</v>
          </cell>
          <cell r="BI14">
            <v>0</v>
          </cell>
          <cell r="BJ14" t="str">
            <v>No numeric horizontal proof</v>
          </cell>
          <cell r="BK14" t="str">
            <v>No coordinate evidence in source/LAS</v>
          </cell>
          <cell r="BL14" t="str">
            <v>No coordinate evidence in source/LAS</v>
          </cell>
          <cell r="BM14" t="str">
            <v>No coordinate evidence in source/LAS</v>
          </cell>
          <cell r="BN14" t="str">
            <v>No coordinate evidence in source/LAS</v>
          </cell>
          <cell r="BO14" t="str">
            <v>No coordinate evidence after source and LAS-header search</v>
          </cell>
        </row>
        <row r="15">
          <cell r="A15" t="str">
            <v>Pemburu-00024</v>
          </cell>
          <cell r="B15" t="str">
            <v>PEMB00024</v>
          </cell>
          <cell r="C15" t="str">
            <v>PEMBURU</v>
          </cell>
          <cell r="D15" t="str">
            <v>Balam</v>
          </cell>
          <cell r="E15">
            <v>15.085940000000001</v>
          </cell>
          <cell r="F15">
            <v>15.085940000000001</v>
          </cell>
          <cell r="G15">
            <v>0.64926872740180996</v>
          </cell>
          <cell r="H15">
            <v>5.3703035999999997</v>
          </cell>
          <cell r="I15">
            <v>8.4808768197336803</v>
          </cell>
          <cell r="J15">
            <v>0.24969696969697</v>
          </cell>
          <cell r="K15">
            <v>656</v>
          </cell>
          <cell r="L15">
            <v>0.46176260054926399</v>
          </cell>
          <cell r="M15">
            <v>436.5</v>
          </cell>
          <cell r="N15">
            <v>1.1993932052298437</v>
          </cell>
          <cell r="O15">
            <v>15181.4924395286</v>
          </cell>
          <cell r="P15">
            <v>11770.882870628029</v>
          </cell>
          <cell r="Q15">
            <v>4.5623626188657081E-4</v>
          </cell>
          <cell r="R15">
            <v>2354.1765741256058</v>
          </cell>
          <cell r="S15">
            <v>2348.8062705256057</v>
          </cell>
          <cell r="T15">
            <v>8.4808768197336803</v>
          </cell>
          <cell r="U15" t="str">
            <v>Rokan</v>
          </cell>
          <cell r="V15">
            <v>803.10675000000003</v>
          </cell>
          <cell r="W15">
            <v>802.91735592525697</v>
          </cell>
          <cell r="X15">
            <v>10</v>
          </cell>
          <cell r="Y15">
            <v>10</v>
          </cell>
          <cell r="Z15">
            <v>5.3682593104013202E-2</v>
          </cell>
          <cell r="AA15">
            <v>5.3682593104013202E-2</v>
          </cell>
          <cell r="AB15">
            <v>2</v>
          </cell>
          <cell r="AC15">
            <v>1</v>
          </cell>
          <cell r="AD15">
            <v>5</v>
          </cell>
          <cell r="AE15">
            <v>5</v>
          </cell>
          <cell r="AF15">
            <v>5</v>
          </cell>
          <cell r="AG15">
            <v>1</v>
          </cell>
          <cell r="AH15">
            <v>2.65</v>
          </cell>
          <cell r="AI15">
            <v>0.9</v>
          </cell>
          <cell r="AJ15" t="str">
            <v>Tier 2 - subsurface / integrity review</v>
          </cell>
          <cell r="AK15" t="str">
            <v>SHUT IN</v>
          </cell>
          <cell r="AL15" t="str">
            <v>Cased Hole</v>
          </cell>
          <cell r="AM15" t="str">
            <v>ESP</v>
          </cell>
          <cell r="AN15" t="str">
            <v>Good</v>
          </cell>
          <cell r="AO15" t="str">
            <v>Initial Completion</v>
          </cell>
          <cell r="AP15" t="str">
            <v>WHC</v>
          </cell>
          <cell r="AQ15" t="str">
            <v>Well source folder found; digital-group classification absent</v>
          </cell>
          <cell r="AR15" t="str">
            <v>No standard-group gap identified in database</v>
          </cell>
          <cell r="AS15" t="str">
            <v>D:\HALLIBURTON CONSULTING\Data Nations\Zona Rokan\PEMBURU\PEMB00024\6_Prod\ProdHist_PEMB00024.xlsx</v>
          </cell>
          <cell r="AT15" t="str">
            <v>field+well-number; Value completion uses Formation evaluation completed; Candidate mapped to source well</v>
          </cell>
          <cell r="AU15" t="str">
            <v>NZBP SCREENING CANDIDATE</v>
          </cell>
          <cell r="AV15">
            <v>17</v>
          </cell>
          <cell r="AW15">
            <v>458.4307189018935</v>
          </cell>
          <cell r="AX15">
            <v>91.6861437803787</v>
          </cell>
          <cell r="AY15">
            <v>1854.75</v>
          </cell>
          <cell r="AZ15">
            <v>1886.25</v>
          </cell>
          <cell r="BA15">
            <v>1854.75</v>
          </cell>
          <cell r="BB15">
            <v>1886.25</v>
          </cell>
          <cell r="BC15">
            <v>31.75</v>
          </cell>
          <cell r="BD15">
            <v>83.6</v>
          </cell>
          <cell r="BE15">
            <v>1</v>
          </cell>
          <cell r="BF15" t="str">
            <v>Formation evaluation completed</v>
          </cell>
          <cell r="BG15" t="str">
            <v>D:\HALLIBURTON CONSULTING\Data Nations\Zona Rokan\PEMBURU\PEMB00024\5_Well_Log_Raw\164083516_PEMB00024_T_222244_0.las</v>
          </cell>
          <cell r="BH15" t="str">
            <v>MD used as TVD; no numeric deviation survey found</v>
          </cell>
          <cell r="BI15">
            <v>0</v>
          </cell>
          <cell r="BJ15" t="str">
            <v>No numeric horizontal proof</v>
          </cell>
          <cell r="BK15">
            <v>1.5090094944444401</v>
          </cell>
          <cell r="BL15">
            <v>101.12097643611099</v>
          </cell>
          <cell r="BM15">
            <v>735984.46295836603</v>
          </cell>
          <cell r="BN15">
            <v>166906.33951054001</v>
          </cell>
          <cell r="BO15" t="str">
            <v>WGS84 / LAS header</v>
          </cell>
        </row>
        <row r="16">
          <cell r="A16" t="str">
            <v>Pungut-00007</v>
          </cell>
          <cell r="B16" t="str">
            <v>PUNG00007</v>
          </cell>
          <cell r="C16" t="str">
            <v>PUNGUT</v>
          </cell>
          <cell r="D16" t="str">
            <v>Balam</v>
          </cell>
          <cell r="E16">
            <v>100</v>
          </cell>
          <cell r="F16">
            <v>148</v>
          </cell>
          <cell r="G16">
            <v>0.64926872740180996</v>
          </cell>
          <cell r="H16">
            <v>411.89210320000001</v>
          </cell>
          <cell r="I16">
            <v>56.217092337194003</v>
          </cell>
          <cell r="J16">
            <v>0.25922989938388002</v>
          </cell>
          <cell r="K16">
            <v>656</v>
          </cell>
          <cell r="L16">
            <v>0.64931296302529495</v>
          </cell>
          <cell r="M16">
            <v>274.5</v>
          </cell>
          <cell r="N16">
            <v>1.1993932052298437</v>
          </cell>
          <cell r="O16">
            <v>6457.8838410874396</v>
          </cell>
          <cell r="P16">
            <v>5007.0831038744855</v>
          </cell>
          <cell r="Q16">
            <v>8.2261886742258691E-2</v>
          </cell>
          <cell r="R16">
            <v>1001.4166207748972</v>
          </cell>
          <cell r="S16">
            <v>589.52451757489712</v>
          </cell>
          <cell r="T16">
            <v>56.217092337194003</v>
          </cell>
          <cell r="U16" t="str">
            <v>Rokan</v>
          </cell>
          <cell r="V16">
            <v>1234.05</v>
          </cell>
          <cell r="W16">
            <v>1181.57714021478</v>
          </cell>
          <cell r="X16">
            <v>10</v>
          </cell>
          <cell r="Y16">
            <v>10</v>
          </cell>
          <cell r="Z16">
            <v>0.34265803075818901</v>
          </cell>
          <cell r="AA16">
            <v>0.241807560412307</v>
          </cell>
          <cell r="AB16">
            <v>3</v>
          </cell>
          <cell r="AC16">
            <v>3</v>
          </cell>
          <cell r="AD16">
            <v>4</v>
          </cell>
          <cell r="AE16">
            <v>5</v>
          </cell>
          <cell r="AF16">
            <v>5</v>
          </cell>
          <cell r="AG16">
            <v>2</v>
          </cell>
          <cell r="AH16">
            <v>3.55</v>
          </cell>
          <cell r="AI16">
            <v>0.8</v>
          </cell>
          <cell r="AJ16" t="str">
            <v>Tier 1 - validate for reactivation</v>
          </cell>
          <cell r="AK16" t="str">
            <v>PRODUCING</v>
          </cell>
          <cell r="AL16" t="str">
            <v>COMPlETION REPORT</v>
          </cell>
          <cell r="AM16" t="str">
            <v>ESP</v>
          </cell>
          <cell r="AN16" t="str">
            <v>DATED 21 SEP 2013. | 3. TOOL WAS RUN CENTRALIZED USING THREE GEMOCO CENTRALIZERS</v>
          </cell>
          <cell r="AO16" t="str">
            <v>PERFORATE GAS ZONE, SWAB TO FLOW STRING SIZE 3.5</v>
          </cell>
          <cell r="AP16" t="str">
            <v>WellHead</v>
          </cell>
          <cell r="AQ16" t="str">
            <v>Well source folder found; digital-group classification absent</v>
          </cell>
          <cell r="AR16" t="str">
            <v>No standard-group gap identified in database</v>
          </cell>
          <cell r="AS16" t="str">
            <v>D:\HALLIBURTON CONSULTING\Data Nations\Zona Rokan\PUNGUT\PUNG00007\6_Prod\ProdHist_PUNG00007.xlsx</v>
          </cell>
          <cell r="AT16" t="str">
            <v>field+well-number; Value completion uses Formation evaluation completed; Candidate mapped to source well</v>
          </cell>
          <cell r="AU16" t="str">
            <v>NZBP SCREENING CANDIDATE</v>
          </cell>
          <cell r="AV16">
            <v>15</v>
          </cell>
          <cell r="AW16">
            <v>273.61109857237631</v>
          </cell>
          <cell r="AX16">
            <v>54.722219714475266</v>
          </cell>
          <cell r="AY16">
            <v>2850</v>
          </cell>
          <cell r="AZ16">
            <v>2870.5</v>
          </cell>
          <cell r="BA16">
            <v>2850</v>
          </cell>
          <cell r="BB16">
            <v>2870.5</v>
          </cell>
          <cell r="BC16">
            <v>21</v>
          </cell>
          <cell r="BD16">
            <v>93.4</v>
          </cell>
          <cell r="BE16">
            <v>2</v>
          </cell>
          <cell r="BF16" t="str">
            <v>Formation evaluation completed</v>
          </cell>
          <cell r="BG16" t="str">
            <v>D:\HALLIBURTON CONSULTING\Data Nations\Zona Rokan\PUNGUT\PUNG00007\5_Well_Log_Raw\PUNG00007_pung00007.las_.las</v>
          </cell>
          <cell r="BH16" t="str">
            <v>MD used as TVD; no numeric deviation survey found</v>
          </cell>
          <cell r="BI16">
            <v>0</v>
          </cell>
          <cell r="BJ16" t="str">
            <v>No numeric horizontal proof</v>
          </cell>
          <cell r="BK16" t="str">
            <v>No coordinate evidence in source/LAS</v>
          </cell>
          <cell r="BL16" t="str">
            <v>No coordinate evidence in source/LAS</v>
          </cell>
          <cell r="BM16" t="str">
            <v>No coordinate evidence in source/LAS</v>
          </cell>
          <cell r="BN16" t="str">
            <v>No coordinate evidence in source/LAS</v>
          </cell>
          <cell r="BO16" t="str">
            <v>No coordinate evidence after source and LAS-header search</v>
          </cell>
        </row>
        <row r="17">
          <cell r="A17" t="str">
            <v>Pungut-00009</v>
          </cell>
          <cell r="B17" t="str">
            <v>PUNG00009</v>
          </cell>
          <cell r="C17" t="str">
            <v>PUNGUT</v>
          </cell>
          <cell r="D17" t="str">
            <v>Balam</v>
          </cell>
          <cell r="E17">
            <v>0</v>
          </cell>
          <cell r="F17">
            <v>3</v>
          </cell>
          <cell r="G17">
            <v>0.64926872740180996</v>
          </cell>
          <cell r="H17">
            <v>411.89210320000001</v>
          </cell>
          <cell r="I17">
            <v>0</v>
          </cell>
          <cell r="J17">
            <v>0.2346</v>
          </cell>
          <cell r="K17">
            <v>820</v>
          </cell>
          <cell r="L17">
            <v>0.20399999999999999</v>
          </cell>
          <cell r="M17">
            <v>65.5</v>
          </cell>
          <cell r="N17">
            <v>1.1993932052298437</v>
          </cell>
          <cell r="O17">
            <v>3165.3770687446099</v>
          </cell>
          <cell r="P17">
            <v>3834.7764212306033</v>
          </cell>
          <cell r="Q17">
            <v>0.10740967867634414</v>
          </cell>
          <cell r="R17">
            <v>766.95528424612075</v>
          </cell>
          <cell r="S17">
            <v>355.06318104612075</v>
          </cell>
          <cell r="T17">
            <v>0.01</v>
          </cell>
          <cell r="U17" t="str">
            <v>Rokan</v>
          </cell>
          <cell r="V17">
            <v>1343.3824999999999</v>
          </cell>
          <cell r="W17">
            <v>1226.8448003178701</v>
          </cell>
          <cell r="X17">
            <v>10</v>
          </cell>
          <cell r="Y17">
            <v>10</v>
          </cell>
          <cell r="Z17">
            <v>0.5</v>
          </cell>
          <cell r="AA17">
            <v>0.5</v>
          </cell>
          <cell r="AB17">
            <v>1</v>
          </cell>
          <cell r="AC17">
            <v>1</v>
          </cell>
          <cell r="AD17">
            <v>4</v>
          </cell>
          <cell r="AE17">
            <v>5</v>
          </cell>
          <cell r="AF17">
            <v>5</v>
          </cell>
          <cell r="AG17">
            <v>3</v>
          </cell>
          <cell r="AH17">
            <v>2.7</v>
          </cell>
          <cell r="AI17">
            <v>0.65</v>
          </cell>
          <cell r="AJ17" t="str">
            <v>Tier 2 - subsurface / integrity review</v>
          </cell>
          <cell r="AK17" t="str">
            <v>SHUT IN</v>
          </cell>
          <cell r="AL17" t="str">
            <v>COMPLETION REPORT</v>
          </cell>
          <cell r="AM17" t="str">
            <v>ESP</v>
          </cell>
          <cell r="AN17" t="str">
            <v>Good</v>
          </cell>
          <cell r="AO17" t="str">
            <v>PERFORATE GAS ZONE, SWAB TO FLOW STRING SIZE 3.5</v>
          </cell>
          <cell r="AP17" t="str">
            <v>Wellhead</v>
          </cell>
          <cell r="AQ17" t="str">
            <v>Well source folder found; digital-group classification absent</v>
          </cell>
          <cell r="AR17" t="str">
            <v>No standard-group gap identified in database</v>
          </cell>
          <cell r="AS17" t="str">
            <v>No usable 6_Prod workbook after recursive search</v>
          </cell>
          <cell r="AT17" t="str">
            <v>field+well-number; Value completion uses Formation evaluation completed; Candidate mapped to source well</v>
          </cell>
          <cell r="AU17" t="str">
            <v>NZBP SCREENING CANDIDATE</v>
          </cell>
          <cell r="AV17">
            <v>4</v>
          </cell>
          <cell r="AW17">
            <v>234.1848196171361</v>
          </cell>
          <cell r="AX17">
            <v>46.83696392342722</v>
          </cell>
          <cell r="AY17">
            <v>3102.5</v>
          </cell>
          <cell r="AZ17">
            <v>3123</v>
          </cell>
          <cell r="BA17">
            <v>3102.5</v>
          </cell>
          <cell r="BB17">
            <v>3123</v>
          </cell>
          <cell r="BC17">
            <v>21</v>
          </cell>
          <cell r="BD17">
            <v>90.5</v>
          </cell>
          <cell r="BE17">
            <v>1</v>
          </cell>
          <cell r="BF17" t="str">
            <v>Formation evaluation completed</v>
          </cell>
          <cell r="BG17" t="str">
            <v>D:\HALLIBURTON CONSULTING\Data Nations\Zona Rokan\PUNGUT\PUNG00009\5_Well_Log_Raw\PUNG00009_pung00009.las_.las</v>
          </cell>
          <cell r="BH17" t="str">
            <v>MD used as TVD; no numeric deviation survey found</v>
          </cell>
          <cell r="BI17">
            <v>0</v>
          </cell>
          <cell r="BJ17" t="str">
            <v>No numeric horizontal proof</v>
          </cell>
          <cell r="BK17" t="str">
            <v>No coordinate evidence in source/LAS</v>
          </cell>
          <cell r="BL17" t="str">
            <v>No coordinate evidence in source/LAS</v>
          </cell>
          <cell r="BM17" t="str">
            <v>No coordinate evidence in source/LAS</v>
          </cell>
          <cell r="BN17" t="str">
            <v>No coordinate evidence in source/LAS</v>
          </cell>
          <cell r="BO17" t="str">
            <v>No coordinate evidence after source and LAS-header search</v>
          </cell>
        </row>
        <row r="18">
          <cell r="A18" t="str">
            <v>Kelok-00007</v>
          </cell>
          <cell r="B18" t="str">
            <v>KELO00007D1</v>
          </cell>
          <cell r="C18" t="str">
            <v>KELOK</v>
          </cell>
          <cell r="D18" t="str">
            <v>Balam</v>
          </cell>
          <cell r="E18">
            <v>1814.88666666667</v>
          </cell>
          <cell r="F18">
            <v>2304.19266666667</v>
          </cell>
          <cell r="G18">
            <v>0.72930995252544895</v>
          </cell>
          <cell r="H18">
            <v>873.83749969999997</v>
          </cell>
          <cell r="I18">
            <v>908.30192435940796</v>
          </cell>
          <cell r="J18">
            <v>0.2024</v>
          </cell>
          <cell r="K18">
            <v>656</v>
          </cell>
          <cell r="L18">
            <v>0.64359999999999995</v>
          </cell>
          <cell r="M18">
            <v>1045.5</v>
          </cell>
          <cell r="N18">
            <v>1.1993932052298437</v>
          </cell>
          <cell r="O18">
            <v>19517.1013338663</v>
          </cell>
          <cell r="P18">
            <v>15132.472297450386</v>
          </cell>
          <cell r="Q18">
            <v>5.7745851604646889E-2</v>
          </cell>
          <cell r="R18">
            <v>3026.4944594900771</v>
          </cell>
          <cell r="S18">
            <v>2152.6569597900771</v>
          </cell>
          <cell r="T18">
            <v>908.30192435940796</v>
          </cell>
          <cell r="U18" t="str">
            <v>Rokan</v>
          </cell>
          <cell r="V18">
            <v>2258.7444999999998</v>
          </cell>
          <cell r="W18">
            <v>2191.3241178241501</v>
          </cell>
          <cell r="X18">
            <v>90.75</v>
          </cell>
          <cell r="Y18">
            <v>90.75</v>
          </cell>
          <cell r="Z18">
            <v>2.91463138883022</v>
          </cell>
          <cell r="AA18">
            <v>2.3663274793594899</v>
          </cell>
          <cell r="AB18">
            <v>5</v>
          </cell>
          <cell r="AC18">
            <v>5</v>
          </cell>
          <cell r="AD18">
            <v>5</v>
          </cell>
          <cell r="AE18">
            <v>5</v>
          </cell>
          <cell r="AF18">
            <v>1</v>
          </cell>
          <cell r="AG18">
            <v>5</v>
          </cell>
          <cell r="AH18">
            <v>4.4000000000000004</v>
          </cell>
          <cell r="AI18">
            <v>0.8</v>
          </cell>
          <cell r="AJ18" t="str">
            <v>Tier 1 - validate for reactivation</v>
          </cell>
          <cell r="AK18" t="str">
            <v>POP</v>
          </cell>
          <cell r="AL18" t="str">
            <v>OPEN HOLE</v>
          </cell>
          <cell r="AM18" t="str">
            <v>ESP</v>
          </cell>
          <cell r="AN18" t="str">
            <v>DATE :12 JUN 2004. | 2. PERFORATION INTERVAL :3146'-3152'(6'), 5182'-5190' (8’)</v>
          </cell>
          <cell r="AO18" t="str">
            <v>PRISE ABest VT 0</v>
          </cell>
          <cell r="AP18" t="str">
            <v>WELLHEAD</v>
          </cell>
          <cell r="AQ18" t="str">
            <v>Well source folder found; digital-group classification absent</v>
          </cell>
          <cell r="AR18" t="str">
            <v>No standard-group gap identified in database</v>
          </cell>
          <cell r="AS18" t="str">
            <v>D:\HALLIBURTON CONSULTING\Data Nations\Zona Rokan\KELOK\KELO00007D1\6_Prod\ProdHist_KELO00007.xlsx</v>
          </cell>
          <cell r="AT18" t="str">
            <v>field+well-number; Value completion uses Formation evaluation completed; Candidate mapped to source well</v>
          </cell>
          <cell r="AU18" t="str">
            <v>NZBP SCREENING CANDIDATE</v>
          </cell>
          <cell r="AV18">
            <v>14</v>
          </cell>
          <cell r="AW18">
            <v>202.63473186447195</v>
          </cell>
          <cell r="AX18">
            <v>40.526946372894393</v>
          </cell>
          <cell r="AY18">
            <v>5216.5</v>
          </cell>
          <cell r="AZ18">
            <v>5247.5</v>
          </cell>
          <cell r="BA18">
            <v>5216.5</v>
          </cell>
          <cell r="BB18">
            <v>5247.5</v>
          </cell>
          <cell r="BC18">
            <v>31.5</v>
          </cell>
          <cell r="BD18">
            <v>70</v>
          </cell>
          <cell r="BE18">
            <v>2</v>
          </cell>
          <cell r="BF18" t="str">
            <v>Formation evaluation completed</v>
          </cell>
          <cell r="BG18" t="str">
            <v>D:\HALLIBURTON CONSULTING\Data Nations\Zona Rokan\KELOK\KELO00007D1\5_Well_Log_Raw\149732256_KELO00007D1_T_171755_0.las</v>
          </cell>
          <cell r="BH18" t="str">
            <v>MD used as TVD; no numeric deviation survey found</v>
          </cell>
          <cell r="BI18">
            <v>0</v>
          </cell>
          <cell r="BJ18" t="str">
            <v>No numeric horizontal proof</v>
          </cell>
          <cell r="BK18" t="str">
            <v>No coordinate evidence in source/LAS</v>
          </cell>
          <cell r="BL18" t="str">
            <v>No coordinate evidence in source/LAS</v>
          </cell>
          <cell r="BM18" t="str">
            <v>No coordinate evidence in source/LAS</v>
          </cell>
          <cell r="BN18" t="str">
            <v>No coordinate evidence in source/LAS</v>
          </cell>
          <cell r="BO18" t="str">
            <v>No coordinate evidence after source and LAS-header search</v>
          </cell>
        </row>
        <row r="19">
          <cell r="A19" t="str">
            <v>Puncak-00023</v>
          </cell>
          <cell r="B19" t="str">
            <v>PUNC00023</v>
          </cell>
          <cell r="C19" t="str">
            <v>PUNCAK</v>
          </cell>
          <cell r="D19" t="str">
            <v>Balam</v>
          </cell>
          <cell r="E19">
            <v>57.139499999999998</v>
          </cell>
          <cell r="F19">
            <v>219.245714285714</v>
          </cell>
          <cell r="G19">
            <v>0.64926872740180996</v>
          </cell>
          <cell r="H19">
            <v>51.763525000000001</v>
          </cell>
          <cell r="I19">
            <v>32.122165476010998</v>
          </cell>
          <cell r="J19">
            <v>0.28794999999999998</v>
          </cell>
          <cell r="K19">
            <v>656</v>
          </cell>
          <cell r="L19">
            <v>0.380887117309612</v>
          </cell>
          <cell r="M19">
            <v>39</v>
          </cell>
          <cell r="N19">
            <v>1.1993932052298437</v>
          </cell>
          <cell r="O19">
            <v>1799.26282611339</v>
          </cell>
          <cell r="P19">
            <v>1395.0480866104874</v>
          </cell>
          <cell r="Q19">
            <v>3.7105190492586183E-2</v>
          </cell>
          <cell r="R19">
            <v>279.00961732209748</v>
          </cell>
          <cell r="S19">
            <v>227.24609232209747</v>
          </cell>
          <cell r="T19">
            <v>32.122165476010998</v>
          </cell>
          <cell r="U19" t="str">
            <v>Rokan</v>
          </cell>
          <cell r="V19">
            <v>549.04399999999998</v>
          </cell>
          <cell r="W19">
            <v>538.51359372930494</v>
          </cell>
          <cell r="X19">
            <v>100</v>
          </cell>
          <cell r="Y19">
            <v>100</v>
          </cell>
          <cell r="Z19">
            <v>1.14092190522183</v>
          </cell>
          <cell r="AA19">
            <v>0.30315987597478999</v>
          </cell>
          <cell r="AB19">
            <v>3</v>
          </cell>
          <cell r="AC19">
            <v>2</v>
          </cell>
          <cell r="AD19">
            <v>3</v>
          </cell>
          <cell r="AE19">
            <v>5</v>
          </cell>
          <cell r="AF19">
            <v>1</v>
          </cell>
          <cell r="AG19">
            <v>2</v>
          </cell>
          <cell r="AH19">
            <v>2.7</v>
          </cell>
          <cell r="AI19">
            <v>0.7</v>
          </cell>
          <cell r="AJ19" t="str">
            <v>Tier 2 - subsurface / integrity review</v>
          </cell>
          <cell r="AK19" t="str">
            <v>SHUT IN</v>
          </cell>
          <cell r="AL19" t="str">
            <v>OPEN HOLE</v>
          </cell>
          <cell r="AM19" t="str">
            <v>ESP</v>
          </cell>
          <cell r="AN19" t="str">
            <v>good</v>
          </cell>
          <cell r="AO19" t="str">
            <v>; REASON CODE</v>
          </cell>
          <cell r="AP19" t="str">
            <v>Wellhead</v>
          </cell>
          <cell r="AQ19" t="str">
            <v>Well source folder found; digital-group classification absent</v>
          </cell>
          <cell r="AR19" t="str">
            <v>No standard-group gap identified in database</v>
          </cell>
          <cell r="AS19" t="str">
            <v>D:\HALLIBURTON CONSULTING\Data Nations\Zona Rokan\PUNCAK\PUNC00023\6_Prod\ProdHist_PUNC00023.xlsx</v>
          </cell>
          <cell r="AT19" t="str">
            <v>field+well-number; Value completion uses Formation evaluation completed; Candidate mapped to source well</v>
          </cell>
          <cell r="AU19" t="str">
            <v>UNCONFIRMED - NO PERFORATION HISTORY</v>
          </cell>
          <cell r="AV19">
            <v>0</v>
          </cell>
          <cell r="AW19">
            <v>0</v>
          </cell>
          <cell r="AX19">
            <v>0</v>
          </cell>
          <cell r="AY19">
            <v>1268</v>
          </cell>
          <cell r="AZ19">
            <v>1285.5</v>
          </cell>
          <cell r="BA19">
            <v>1268</v>
          </cell>
          <cell r="BB19">
            <v>1285.5</v>
          </cell>
          <cell r="BC19">
            <v>18</v>
          </cell>
          <cell r="BD19">
            <v>83.2</v>
          </cell>
          <cell r="BE19">
            <v>0</v>
          </cell>
          <cell r="BF19" t="str">
            <v>Formation evaluation completed</v>
          </cell>
          <cell r="BG19" t="str">
            <v>D:\HALLIBURTON CONSULTING\Data Nations\Zona Rokan\PUNCAK\PUNC00023\5_Well_Log_Raw\166616744_PUNC00023_T_025028_0.las</v>
          </cell>
          <cell r="BH19" t="str">
            <v>MD used as TVD; no numeric deviation survey found</v>
          </cell>
          <cell r="BI19">
            <v>0</v>
          </cell>
          <cell r="BJ19" t="str">
            <v>No numeric horizontal proof</v>
          </cell>
          <cell r="BK19" t="str">
            <v>No coordinate evidence in source/LAS</v>
          </cell>
          <cell r="BL19" t="str">
            <v>No coordinate evidence in source/LAS</v>
          </cell>
          <cell r="BM19" t="str">
            <v>No coordinate evidence in source/LAS</v>
          </cell>
          <cell r="BN19" t="str">
            <v>No coordinate evidence in source/LAS</v>
          </cell>
          <cell r="BO19" t="str">
            <v>No coordinate evidence after source and LAS-header search</v>
          </cell>
        </row>
        <row r="20">
          <cell r="A20" t="str">
            <v>Puncak-00031</v>
          </cell>
          <cell r="B20" t="str">
            <v>PUNC00031</v>
          </cell>
          <cell r="C20" t="str">
            <v>PUNCAK</v>
          </cell>
          <cell r="D20" t="str">
            <v>Balam</v>
          </cell>
          <cell r="E20">
            <v>67.848965517241396</v>
          </cell>
          <cell r="F20">
            <v>69.098709677419393</v>
          </cell>
          <cell r="G20">
            <v>0.64926872740180996</v>
          </cell>
          <cell r="H20">
            <v>47.540845500000003</v>
          </cell>
          <cell r="I20">
            <v>38.142715594658497</v>
          </cell>
          <cell r="J20">
            <v>0.25480000000000003</v>
          </cell>
          <cell r="K20">
            <v>656</v>
          </cell>
          <cell r="L20">
            <v>0.482195614997181</v>
          </cell>
          <cell r="M20">
            <v>104.200000000142</v>
          </cell>
          <cell r="N20">
            <v>1.1993932052298437</v>
          </cell>
          <cell r="O20">
            <v>3557.7542233496401</v>
          </cell>
          <cell r="P20">
            <v>2758.4842802735084</v>
          </cell>
          <cell r="Q20">
            <v>1.7234408707700249E-2</v>
          </cell>
          <cell r="R20">
            <v>551.6968560547017</v>
          </cell>
          <cell r="S20">
            <v>504.15601055470171</v>
          </cell>
          <cell r="T20">
            <v>38.142715594658497</v>
          </cell>
          <cell r="U20" t="str">
            <v>Rokan</v>
          </cell>
          <cell r="V20">
            <v>1060.8499999999999</v>
          </cell>
          <cell r="W20">
            <v>1051.3995240756699</v>
          </cell>
          <cell r="X20">
            <v>100</v>
          </cell>
          <cell r="Y20">
            <v>100</v>
          </cell>
          <cell r="Z20">
            <v>0.18610065965275699</v>
          </cell>
          <cell r="AA20">
            <v>0.18437728261532499</v>
          </cell>
          <cell r="AB20">
            <v>3</v>
          </cell>
          <cell r="AC20">
            <v>2</v>
          </cell>
          <cell r="AD20">
            <v>4</v>
          </cell>
          <cell r="AE20">
            <v>5</v>
          </cell>
          <cell r="AF20">
            <v>1</v>
          </cell>
          <cell r="AG20">
            <v>1</v>
          </cell>
          <cell r="AH20">
            <v>2.5499999999999998</v>
          </cell>
          <cell r="AI20">
            <v>0.8</v>
          </cell>
          <cell r="AJ20" t="str">
            <v>Tier 2 - subsurface / integrity review</v>
          </cell>
          <cell r="AK20" t="str">
            <v>SHUT IN</v>
          </cell>
          <cell r="AL20" t="str">
            <v>Open Hole</v>
          </cell>
          <cell r="AM20" t="str">
            <v>ESP</v>
          </cell>
          <cell r="AN20" t="str">
            <v>Good</v>
          </cell>
          <cell r="AO20" t="str">
            <v>WELL NOT POP(SURFACE FACILITY NOT COMPLETE)</v>
          </cell>
          <cell r="AP20" t="str">
            <v>Yes</v>
          </cell>
          <cell r="AQ20" t="str">
            <v>Well source folder found; digital-group classification absent</v>
          </cell>
          <cell r="AR20" t="str">
            <v>No standard-group gap identified in database</v>
          </cell>
          <cell r="AS20" t="str">
            <v>D:\HALLIBURTON CONSULTING\Data Nations\Zona Rokan\PUNCAK\PUNC00031\6_Prod\ProdHist_PUNC00031.xlsx</v>
          </cell>
          <cell r="AT20" t="str">
            <v>field+well-number; Value completion uses Formation evaluation completed; Candidate mapped to source well</v>
          </cell>
          <cell r="AU20" t="str">
            <v>No qualifying &gt;=5 ft NZBP interval in interpreted LAS</v>
          </cell>
          <cell r="AV20">
            <v>0</v>
          </cell>
          <cell r="AW20">
            <v>0</v>
          </cell>
          <cell r="AX20">
            <v>0</v>
          </cell>
          <cell r="AY20" t="str">
            <v>No qualifying &gt;=5 ft interval</v>
          </cell>
          <cell r="AZ20" t="str">
            <v>No qualifying &gt;=5 ft interval</v>
          </cell>
          <cell r="BA20" t="str">
            <v>No qualifying &gt;=5 ft interval</v>
          </cell>
          <cell r="BB20" t="str">
            <v>No qualifying &gt;=5 ft interval</v>
          </cell>
          <cell r="BC20" t="str">
            <v>No qualifying &gt;=5 ft interval</v>
          </cell>
          <cell r="BD20" t="str">
            <v>No qualifying &gt;=5 ft interval</v>
          </cell>
          <cell r="BE20">
            <v>3</v>
          </cell>
          <cell r="BF20" t="str">
            <v>Formation evaluation completed</v>
          </cell>
          <cell r="BG20" t="str">
            <v>D:\HALLIBURTON CONSULTING\Data Nations\Zona Rokan\PUNCAK\PUNC00031\5_Well_Log_Raw\166693376_PUNC00031_T_032018_0.las</v>
          </cell>
          <cell r="BH20" t="str">
            <v>MD used as TVD; no numeric deviation survey found</v>
          </cell>
          <cell r="BI20">
            <v>0</v>
          </cell>
          <cell r="BJ20" t="str">
            <v>No numeric horizontal proof</v>
          </cell>
          <cell r="BK20" t="str">
            <v>No coordinate evidence in source/LAS</v>
          </cell>
          <cell r="BL20" t="str">
            <v>No coordinate evidence in source/LAS</v>
          </cell>
          <cell r="BM20" t="str">
            <v>No coordinate evidence in source/LAS</v>
          </cell>
          <cell r="BN20" t="str">
            <v>No coordinate evidence in source/LAS</v>
          </cell>
          <cell r="BO20" t="str">
            <v>No coordinate evidence after source and LAS-header search</v>
          </cell>
        </row>
        <row r="21">
          <cell r="A21" t="str">
            <v>Puncak-00032</v>
          </cell>
          <cell r="B21" t="str">
            <v>PUNC00032D1</v>
          </cell>
          <cell r="C21" t="str">
            <v>PUNCAK</v>
          </cell>
          <cell r="D21" t="str">
            <v>Balam</v>
          </cell>
          <cell r="E21">
            <v>14.25225</v>
          </cell>
          <cell r="F21">
            <v>15.637936</v>
          </cell>
          <cell r="G21">
            <v>0.64926872740180996</v>
          </cell>
          <cell r="H21">
            <v>12.769121699999999</v>
          </cell>
          <cell r="I21">
            <v>8.0122005426277294</v>
          </cell>
          <cell r="J21">
            <v>0.25440000000000002</v>
          </cell>
          <cell r="K21">
            <v>656</v>
          </cell>
          <cell r="L21">
            <v>0.40167554600338901</v>
          </cell>
          <cell r="M21">
            <v>176.700000000241</v>
          </cell>
          <cell r="N21">
            <v>1.1993932052298437</v>
          </cell>
          <cell r="O21">
            <v>6960.3885828638304</v>
          </cell>
          <cell r="P21">
            <v>5396.6972660489555</v>
          </cell>
          <cell r="Q21">
            <v>2.366099314173419E-3</v>
          </cell>
          <cell r="R21">
            <v>1079.3394532097911</v>
          </cell>
          <cell r="S21">
            <v>1066.5703315097912</v>
          </cell>
          <cell r="T21">
            <v>8.0122005426277294</v>
          </cell>
          <cell r="U21" t="str">
            <v>Rokan</v>
          </cell>
          <cell r="V21">
            <v>994.3845</v>
          </cell>
          <cell r="W21">
            <v>993.16834024627997</v>
          </cell>
          <cell r="X21">
            <v>100</v>
          </cell>
          <cell r="Y21">
            <v>100</v>
          </cell>
          <cell r="Z21">
            <v>4.4932133538744E-2</v>
          </cell>
          <cell r="AA21">
            <v>4.1000817923391102E-2</v>
          </cell>
          <cell r="AB21">
            <v>2</v>
          </cell>
          <cell r="AC21">
            <v>1</v>
          </cell>
          <cell r="AD21">
            <v>5</v>
          </cell>
          <cell r="AE21">
            <v>5</v>
          </cell>
          <cell r="AF21">
            <v>1</v>
          </cell>
          <cell r="AG21">
            <v>1</v>
          </cell>
          <cell r="AH21">
            <v>2.0499999999999998</v>
          </cell>
          <cell r="AI21">
            <v>0.9</v>
          </cell>
          <cell r="AJ21" t="str">
            <v>Tier 3 - acquire / validate critical data</v>
          </cell>
          <cell r="AK21" t="str">
            <v>SUSPENDED</v>
          </cell>
          <cell r="AL21" t="str">
            <v>Open Hole</v>
          </cell>
          <cell r="AM21" t="str">
            <v>ESP</v>
          </cell>
          <cell r="AN21" t="str">
            <v>Pressure Test Summary</v>
          </cell>
          <cell r="AO21" t="str">
            <v>Shut in well 4 hrs for PBU test</v>
          </cell>
          <cell r="AP21" t="str">
            <v>Facility</v>
          </cell>
          <cell r="AQ21" t="str">
            <v>Well source folder found; digital-group classification absent</v>
          </cell>
          <cell r="AR21" t="str">
            <v>No standard-group gap identified in database</v>
          </cell>
          <cell r="AS21" t="str">
            <v>D:\HALLIBURTON CONSULTING\Data Nations\Zona Rokan\PUNCAK\PUNC00032D1\6_Prod\ProdHist_PUNC00032.xlsx</v>
          </cell>
          <cell r="AT21" t="str">
            <v>field+well-number; Value completion uses Formation evaluation completed; Candidate mapped to source well</v>
          </cell>
          <cell r="AU21" t="str">
            <v>No qualifying &gt;=5 ft NZBP interval in interpreted LAS</v>
          </cell>
          <cell r="AV21">
            <v>0</v>
          </cell>
          <cell r="AW21">
            <v>0</v>
          </cell>
          <cell r="AX21">
            <v>0</v>
          </cell>
          <cell r="AY21" t="str">
            <v>No qualifying &gt;=5 ft interval</v>
          </cell>
          <cell r="AZ21" t="str">
            <v>No qualifying &gt;=5 ft interval</v>
          </cell>
          <cell r="BA21" t="str">
            <v>No qualifying &gt;=5 ft interval</v>
          </cell>
          <cell r="BB21" t="str">
            <v>No qualifying &gt;=5 ft interval</v>
          </cell>
          <cell r="BC21" t="str">
            <v>No qualifying &gt;=5 ft interval</v>
          </cell>
          <cell r="BD21" t="str">
            <v>No qualifying &gt;=5 ft interval</v>
          </cell>
          <cell r="BE21">
            <v>3</v>
          </cell>
          <cell r="BF21" t="str">
            <v>Formation evaluation completed</v>
          </cell>
          <cell r="BG21" t="str">
            <v>D:\HALLIBURTON CONSULTING\Data Nations\Zona Rokan\PUNCAK\PUNC00032D1\5_Well_Log_Raw\166698481_PUNC00032D1_T_191317_0.las</v>
          </cell>
          <cell r="BH21" t="str">
            <v>MD used as TVD; no numeric deviation survey found</v>
          </cell>
          <cell r="BI21">
            <v>0</v>
          </cell>
          <cell r="BJ21" t="str">
            <v>No numeric horizontal proof</v>
          </cell>
          <cell r="BK21">
            <v>1.45842805555556</v>
          </cell>
          <cell r="BL21">
            <v>101.122930833333</v>
          </cell>
          <cell r="BM21">
            <v>736207.383452098</v>
          </cell>
          <cell r="BN21">
            <v>161311.88475686501</v>
          </cell>
          <cell r="BO21" t="str">
            <v>KB | Well: Puncak # 32 (0-0-65) TVD Reference Elevation: 40.6 ft relative to MSL</v>
          </cell>
        </row>
        <row r="22">
          <cell r="A22" t="str">
            <v>Puncak-00033</v>
          </cell>
          <cell r="B22" t="str">
            <v>PUNC00033</v>
          </cell>
          <cell r="C22" t="str">
            <v>PUNCAK</v>
          </cell>
          <cell r="D22" t="str">
            <v>Balam</v>
          </cell>
          <cell r="E22">
            <v>8.6045068965517206</v>
          </cell>
          <cell r="F22">
            <v>18.269493333333301</v>
          </cell>
          <cell r="G22">
            <v>0.64926872740180996</v>
          </cell>
          <cell r="H22">
            <v>13.0871645</v>
          </cell>
          <cell r="I22">
            <v>4.8372035871947103</v>
          </cell>
          <cell r="J22">
            <v>0.26793939393939398</v>
          </cell>
          <cell r="K22">
            <v>656</v>
          </cell>
          <cell r="L22">
            <v>0.55019613885087904</v>
          </cell>
          <cell r="M22">
            <v>704</v>
          </cell>
          <cell r="N22">
            <v>1.1993932052298437</v>
          </cell>
          <cell r="O22">
            <v>21957.125556292802</v>
          </cell>
          <cell r="P22">
            <v>17024.331048365762</v>
          </cell>
          <cell r="Q22">
            <v>7.6873296594266434E-4</v>
          </cell>
          <cell r="R22">
            <v>3404.8662096731528</v>
          </cell>
          <cell r="S22">
            <v>3391.7790451731526</v>
          </cell>
          <cell r="T22">
            <v>4.8372035871947103</v>
          </cell>
          <cell r="U22" t="str">
            <v>Rokan</v>
          </cell>
          <cell r="V22">
            <v>1009.756</v>
          </cell>
          <cell r="W22">
            <v>1009.35476828009</v>
          </cell>
          <cell r="X22">
            <v>100</v>
          </cell>
          <cell r="Y22">
            <v>100</v>
          </cell>
          <cell r="Z22">
            <v>5.1694223536133899E-2</v>
          </cell>
          <cell r="AA22">
            <v>2.43564564128529E-2</v>
          </cell>
          <cell r="AB22">
            <v>1</v>
          </cell>
          <cell r="AC22">
            <v>1</v>
          </cell>
          <cell r="AD22">
            <v>5</v>
          </cell>
          <cell r="AE22">
            <v>5</v>
          </cell>
          <cell r="AF22">
            <v>1</v>
          </cell>
          <cell r="AG22">
            <v>1</v>
          </cell>
          <cell r="AH22">
            <v>1.8</v>
          </cell>
          <cell r="AI22">
            <v>0.8</v>
          </cell>
          <cell r="AJ22" t="str">
            <v>Defer / low-confidence opportunity</v>
          </cell>
          <cell r="AK22" t="str">
            <v>SUSPENDED</v>
          </cell>
          <cell r="AL22" t="str">
            <v>OPEN HOLE</v>
          </cell>
          <cell r="AM22" t="str">
            <v>ESP</v>
          </cell>
          <cell r="AN22" t="str">
            <v>LEAK</v>
          </cell>
          <cell r="AO22" t="str">
            <v>INITIAL COMPLETION STRING SIZE</v>
          </cell>
          <cell r="AP22" t="str">
            <v>FACILITY</v>
          </cell>
          <cell r="AQ22" t="str">
            <v>Well source folder found; digital-group classification absent</v>
          </cell>
          <cell r="AR22" t="str">
            <v>No standard-group gap identified in database</v>
          </cell>
          <cell r="AS22" t="str">
            <v>D:\HALLIBURTON CONSULTING\Data Nations\Zona Rokan\PUNCAK\PUNC00033\6_Prod\ProdHist_PUNC00033.xlsx</v>
          </cell>
          <cell r="AT22" t="str">
            <v>field+well-number; Value completion uses Formation evaluation completed; Candidate mapped to source well</v>
          </cell>
          <cell r="AU22" t="str">
            <v>No qualifying &gt;=5 ft NZBP interval in interpreted LAS</v>
          </cell>
          <cell r="AV22">
            <v>0</v>
          </cell>
          <cell r="AW22">
            <v>0</v>
          </cell>
          <cell r="AX22">
            <v>0</v>
          </cell>
          <cell r="AY22" t="str">
            <v>No qualifying &gt;=5 ft interval</v>
          </cell>
          <cell r="AZ22" t="str">
            <v>No qualifying &gt;=5 ft interval</v>
          </cell>
          <cell r="BA22" t="str">
            <v>No qualifying &gt;=5 ft interval</v>
          </cell>
          <cell r="BB22" t="str">
            <v>No qualifying &gt;=5 ft interval</v>
          </cell>
          <cell r="BC22" t="str">
            <v>No qualifying &gt;=5 ft interval</v>
          </cell>
          <cell r="BD22" t="str">
            <v>No qualifying &gt;=5 ft interval</v>
          </cell>
          <cell r="BE22">
            <v>3</v>
          </cell>
          <cell r="BF22" t="str">
            <v>Formation evaluation completed</v>
          </cell>
          <cell r="BG22" t="str">
            <v>D:\HALLIBURTON CONSULTING\Data Nations\Zona Rokan\PUNCAK\PUNC00033\5_Well_Log_Raw\166698484_PUNC00033_T_203616_0.las</v>
          </cell>
          <cell r="BH22" t="str">
            <v>MD used as TVD; no numeric deviation survey found</v>
          </cell>
          <cell r="BI22">
            <v>0</v>
          </cell>
          <cell r="BJ22" t="str">
            <v>No numeric horizontal proof</v>
          </cell>
          <cell r="BK22" t="str">
            <v>No coordinate evidence in source/LAS</v>
          </cell>
          <cell r="BL22" t="str">
            <v>No coordinate evidence in source/LAS</v>
          </cell>
          <cell r="BM22" t="str">
            <v>No coordinate evidence in source/LAS</v>
          </cell>
          <cell r="BN22" t="str">
            <v>No coordinate evidence in source/LAS</v>
          </cell>
          <cell r="BO22" t="str">
            <v>No coordinate evidence after source and LAS-header search</v>
          </cell>
        </row>
        <row r="23">
          <cell r="A23" t="str">
            <v>Bangko-00014</v>
          </cell>
          <cell r="B23" t="str">
            <v>BNKO000149</v>
          </cell>
          <cell r="C23" t="str">
            <v>BANGKO</v>
          </cell>
          <cell r="D23" t="str">
            <v>Bangko</v>
          </cell>
          <cell r="E23">
            <v>1984</v>
          </cell>
          <cell r="F23">
            <v>1984</v>
          </cell>
          <cell r="G23">
            <v>0.82008780775796297</v>
          </cell>
          <cell r="H23">
            <v>273.10314490000002</v>
          </cell>
          <cell r="I23">
            <v>883.02739432229805</v>
          </cell>
          <cell r="J23">
            <v>0.40882050610327397</v>
          </cell>
          <cell r="K23">
            <v>656</v>
          </cell>
          <cell r="L23">
            <v>0.64831532027164895</v>
          </cell>
          <cell r="M23">
            <v>683.5</v>
          </cell>
          <cell r="N23">
            <v>1.1993932052298437</v>
          </cell>
          <cell r="O23">
            <v>25431.250546110401</v>
          </cell>
          <cell r="P23">
            <v>19717.973883281556</v>
          </cell>
          <cell r="Q23">
            <v>1.385046691493786E-2</v>
          </cell>
          <cell r="R23">
            <v>3943.5947766563113</v>
          </cell>
          <cell r="S23">
            <v>3670.4916317563111</v>
          </cell>
          <cell r="T23">
            <v>883.02739432229805</v>
          </cell>
          <cell r="U23" t="str">
            <v>Rokan</v>
          </cell>
          <cell r="V23">
            <v>799.75099999999998</v>
          </cell>
          <cell r="W23">
            <v>794.02538004956602</v>
          </cell>
          <cell r="X23">
            <v>9</v>
          </cell>
          <cell r="Y23">
            <v>10</v>
          </cell>
          <cell r="Z23">
            <v>7.1390305284921398</v>
          </cell>
          <cell r="AA23">
            <v>7.1390305284921398</v>
          </cell>
          <cell r="AB23">
            <v>5</v>
          </cell>
          <cell r="AC23">
            <v>5</v>
          </cell>
          <cell r="AD23">
            <v>5</v>
          </cell>
          <cell r="AE23">
            <v>5</v>
          </cell>
          <cell r="AF23">
            <v>5</v>
          </cell>
          <cell r="AG23">
            <v>5</v>
          </cell>
          <cell r="AH23">
            <v>5</v>
          </cell>
          <cell r="AI23">
            <v>0.65</v>
          </cell>
          <cell r="AJ23" t="str">
            <v>Tier 1 - validate for reactivation</v>
          </cell>
          <cell r="AK23" t="str">
            <v>SHUT IN</v>
          </cell>
          <cell r="AL23" t="str">
            <v>COMPLETION REPORT</v>
          </cell>
          <cell r="AM23" t="str">
            <v>PCP</v>
          </cell>
          <cell r="AN23" t="str">
            <v>pressure test</v>
          </cell>
          <cell r="AO23" t="str">
            <v>ATSO</v>
          </cell>
          <cell r="AP23" t="str">
            <v>Wellhead</v>
          </cell>
          <cell r="AQ23" t="str">
            <v>Well source folder found; digital-group classification absent</v>
          </cell>
          <cell r="AR23" t="str">
            <v>No standard-group gap identified in database</v>
          </cell>
          <cell r="AS23" t="str">
            <v>No usable 6_Prod workbook after recursive search</v>
          </cell>
          <cell r="AT23" t="str">
            <v>Low-confidence archive alias: source documents explicitly state BANGKO #14; Value completion uses Formation evaluation completed; Candidate mapped to source well</v>
          </cell>
          <cell r="AU23" t="str">
            <v>NZBP SCREENING CANDIDATE</v>
          </cell>
          <cell r="AV23">
            <v>21</v>
          </cell>
          <cell r="AW23">
            <v>605.81924147609755</v>
          </cell>
          <cell r="AX23">
            <v>121.16384829521951</v>
          </cell>
          <cell r="AY23">
            <v>1847</v>
          </cell>
          <cell r="AZ23">
            <v>1871.5</v>
          </cell>
          <cell r="BA23">
            <v>1847</v>
          </cell>
          <cell r="BB23">
            <v>1871.5</v>
          </cell>
          <cell r="BC23">
            <v>25</v>
          </cell>
          <cell r="BD23">
            <v>83.9</v>
          </cell>
          <cell r="BE23">
            <v>1</v>
          </cell>
          <cell r="BF23" t="str">
            <v>Formation evaluation completed</v>
          </cell>
          <cell r="BG23" t="str">
            <v>D:\HALLIBURTON CONSULTING\Data Nations\Zona Rokan\BANGKO\BNKO000149\5_Well_Log_Raw\bnko00149_fpro_oh.las</v>
          </cell>
          <cell r="BH23" t="str">
            <v>MD used as TVD; no numeric deviation survey found</v>
          </cell>
          <cell r="BI23">
            <v>0</v>
          </cell>
          <cell r="BJ23" t="str">
            <v>No numeric horizontal proof</v>
          </cell>
          <cell r="BK23" t="str">
            <v>No coordinate evidence in source/LAS</v>
          </cell>
          <cell r="BL23" t="str">
            <v>No coordinate evidence in source/LAS</v>
          </cell>
          <cell r="BM23" t="str">
            <v>No coordinate evidence in source/LAS</v>
          </cell>
          <cell r="BN23" t="str">
            <v>No coordinate evidence in source/LAS</v>
          </cell>
          <cell r="BO23" t="str">
            <v>No coordinate evidence after source and LAS-header search</v>
          </cell>
        </row>
        <row r="24">
          <cell r="A24" t="str">
            <v>Bangko-00149</v>
          </cell>
          <cell r="B24" t="str">
            <v>BNKO000149</v>
          </cell>
          <cell r="C24" t="str">
            <v>BANGKO</v>
          </cell>
          <cell r="D24" t="str">
            <v>Bangko</v>
          </cell>
          <cell r="E24">
            <v>4.5657466666666702</v>
          </cell>
          <cell r="F24">
            <v>793.57418333333305</v>
          </cell>
          <cell r="G24">
            <v>0.82008780775796297</v>
          </cell>
          <cell r="H24">
            <v>273.10314490000002</v>
          </cell>
          <cell r="I24">
            <v>2.03209646280362</v>
          </cell>
          <cell r="J24">
            <v>0.40882050610327397</v>
          </cell>
          <cell r="K24">
            <v>656</v>
          </cell>
          <cell r="L24">
            <v>0.64831532027164895</v>
          </cell>
          <cell r="M24">
            <v>683.5</v>
          </cell>
          <cell r="N24">
            <v>1.1993932052298437</v>
          </cell>
          <cell r="O24">
            <v>25431.250546110401</v>
          </cell>
          <cell r="P24">
            <v>19717.973883281556</v>
          </cell>
          <cell r="Q24">
            <v>1.385046691493786E-2</v>
          </cell>
          <cell r="R24">
            <v>3943.5947766563113</v>
          </cell>
          <cell r="S24">
            <v>3670.4916317563111</v>
          </cell>
          <cell r="T24">
            <v>2.03209646280362</v>
          </cell>
          <cell r="U24" t="str">
            <v>Rokan</v>
          </cell>
          <cell r="V24">
            <v>799.75099999999998</v>
          </cell>
          <cell r="W24">
            <v>794.02538004956602</v>
          </cell>
          <cell r="X24">
            <v>9</v>
          </cell>
          <cell r="Y24">
            <v>10</v>
          </cell>
          <cell r="Z24">
            <v>2.8350759292877501</v>
          </cell>
          <cell r="AA24">
            <v>1.6428933890470999E-2</v>
          </cell>
          <cell r="AB24">
            <v>1</v>
          </cell>
          <cell r="AC24">
            <v>1</v>
          </cell>
          <cell r="AD24">
            <v>5</v>
          </cell>
          <cell r="AE24">
            <v>5</v>
          </cell>
          <cell r="AF24">
            <v>5</v>
          </cell>
          <cell r="AG24">
            <v>1</v>
          </cell>
          <cell r="AH24">
            <v>2.4</v>
          </cell>
          <cell r="AI24">
            <v>0.8</v>
          </cell>
          <cell r="AJ24" t="str">
            <v>Tier 3 - acquire / validate critical data</v>
          </cell>
          <cell r="AK24" t="str">
            <v>SHUT IN</v>
          </cell>
          <cell r="AL24" t="str">
            <v>COMPLETION REPORT</v>
          </cell>
          <cell r="AM24" t="str">
            <v>PCP</v>
          </cell>
          <cell r="AN24" t="str">
            <v>pressure test</v>
          </cell>
          <cell r="AO24" t="str">
            <v>ATSO</v>
          </cell>
          <cell r="AP24" t="str">
            <v>Wellhead</v>
          </cell>
          <cell r="AQ24" t="str">
            <v>Well source folder found; digital-group classification absent</v>
          </cell>
          <cell r="AR24" t="str">
            <v>No standard-group gap identified in database</v>
          </cell>
          <cell r="AS24" t="str">
            <v>D:\HALLIBURTON CONSULTING\Data Nations\Zona Rokan\BANGKO\BNKO000149\6_Prod\ProdHist_BNKO00149.xlsx</v>
          </cell>
          <cell r="AT24" t="str">
            <v>field+well-number; Value completion uses Formation evaluation completed; Candidate mapped to source well</v>
          </cell>
          <cell r="AU24" t="str">
            <v>NZBP SCREENING CANDIDATE</v>
          </cell>
          <cell r="AV24">
            <v>21</v>
          </cell>
          <cell r="AW24">
            <v>605.81924147609755</v>
          </cell>
          <cell r="AX24">
            <v>121.16384829521951</v>
          </cell>
          <cell r="AY24">
            <v>1847</v>
          </cell>
          <cell r="AZ24">
            <v>1871.5</v>
          </cell>
          <cell r="BA24">
            <v>1847</v>
          </cell>
          <cell r="BB24">
            <v>1871.5</v>
          </cell>
          <cell r="BC24">
            <v>25</v>
          </cell>
          <cell r="BD24">
            <v>83.9</v>
          </cell>
          <cell r="BE24">
            <v>1</v>
          </cell>
          <cell r="BF24" t="str">
            <v>Formation evaluation completed</v>
          </cell>
          <cell r="BG24" t="str">
            <v>D:\HALLIBURTON CONSULTING\Data Nations\Zona Rokan\BANGKO\BNKO000149\5_Well_Log_Raw\bnko00149_fpro_oh.las</v>
          </cell>
          <cell r="BH24" t="str">
            <v>MD used as TVD; no numeric deviation survey found</v>
          </cell>
          <cell r="BI24">
            <v>0</v>
          </cell>
          <cell r="BJ24" t="str">
            <v>No numeric horizontal proof</v>
          </cell>
          <cell r="BK24" t="str">
            <v>No coordinate evidence in source/LAS</v>
          </cell>
          <cell r="BL24" t="str">
            <v>No coordinate evidence in source/LAS</v>
          </cell>
          <cell r="BM24" t="str">
            <v>No coordinate evidence in source/LAS</v>
          </cell>
          <cell r="BN24" t="str">
            <v>No coordinate evidence in source/LAS</v>
          </cell>
          <cell r="BO24" t="str">
            <v>No coordinate evidence after source and LAS-header search</v>
          </cell>
        </row>
        <row r="25">
          <cell r="A25" t="str">
            <v>Benar-00010</v>
          </cell>
          <cell r="B25" t="str">
            <v>BENA00010</v>
          </cell>
          <cell r="C25" t="str">
            <v>BENAR</v>
          </cell>
          <cell r="D25" t="str">
            <v>Bangko</v>
          </cell>
          <cell r="E25">
            <v>3144.6089999999999</v>
          </cell>
          <cell r="F25">
            <v>3144.6089999999999</v>
          </cell>
          <cell r="G25">
            <v>0.64926872740180996</v>
          </cell>
          <cell r="H25">
            <v>1254.5134737999999</v>
          </cell>
          <cell r="I25">
            <v>1767.8077451737099</v>
          </cell>
          <cell r="J25">
            <v>0.35746731798742798</v>
          </cell>
          <cell r="K25">
            <v>820</v>
          </cell>
          <cell r="L25">
            <v>0.77586186402186297</v>
          </cell>
          <cell r="M25">
            <v>202</v>
          </cell>
          <cell r="N25">
            <v>1.1993932052298437</v>
          </cell>
          <cell r="O25">
            <v>4188.3844979564401</v>
          </cell>
          <cell r="P25">
            <v>5074.1247462758438</v>
          </cell>
          <cell r="Q25">
            <v>0.24723741266328753</v>
          </cell>
          <cell r="R25">
            <v>1775.9436611965452</v>
          </cell>
          <cell r="S25">
            <v>521.43018739654531</v>
          </cell>
          <cell r="T25">
            <v>1767.8077451737099</v>
          </cell>
          <cell r="U25" t="str">
            <v>Rokan</v>
          </cell>
          <cell r="V25">
            <v>680.24300000000005</v>
          </cell>
          <cell r="W25">
            <v>544.41115212412603</v>
          </cell>
          <cell r="X25">
            <v>10</v>
          </cell>
          <cell r="Y25">
            <v>10</v>
          </cell>
          <cell r="Z25">
            <v>16.5033304475891</v>
          </cell>
          <cell r="AA25">
            <v>16.5033304475891</v>
          </cell>
          <cell r="AB25">
            <v>5</v>
          </cell>
          <cell r="AC25">
            <v>5</v>
          </cell>
          <cell r="AD25">
            <v>4</v>
          </cell>
          <cell r="AE25">
            <v>5</v>
          </cell>
          <cell r="AF25">
            <v>5</v>
          </cell>
          <cell r="AG25">
            <v>5</v>
          </cell>
          <cell r="AH25">
            <v>5</v>
          </cell>
          <cell r="AI25">
            <v>0.8</v>
          </cell>
          <cell r="AJ25" t="str">
            <v>Tier 1 - validate for reactivation</v>
          </cell>
          <cell r="AK25" t="str">
            <v>PRODUCING</v>
          </cell>
          <cell r="AL25" t="str">
            <v>COMPLETION REPORT</v>
          </cell>
          <cell r="AM25" t="str">
            <v>ESP</v>
          </cell>
          <cell r="AN25" t="str">
            <v>Good</v>
          </cell>
          <cell r="AO25" t="str">
            <v>SQUBEZE</v>
          </cell>
          <cell r="AP25" t="str">
            <v>Wellhead</v>
          </cell>
          <cell r="AQ25" t="str">
            <v>Well source folder found; digital-group classification absent</v>
          </cell>
          <cell r="AR25" t="str">
            <v>No standard-group gap identified in database</v>
          </cell>
          <cell r="AS25" t="str">
            <v>D:\HALLIBURTON CONSULTING\Data Nations\Zona Rokan\BENAR\BENA00010\6_Prod\ProdHist_BENA00010.xlsx</v>
          </cell>
          <cell r="AT25" t="str">
            <v>field+well-number; Value completion uses Formation evaluation completed; Candidate mapped to source well</v>
          </cell>
          <cell r="AU25" t="str">
            <v>NZBP SCREENING CANDIDATE</v>
          </cell>
          <cell r="AV25">
            <v>7</v>
          </cell>
          <cell r="AW25">
            <v>175.83600605906386</v>
          </cell>
          <cell r="AX25">
            <v>61.542602120672349</v>
          </cell>
          <cell r="AY25">
            <v>1571</v>
          </cell>
          <cell r="AZ25">
            <v>1596.5</v>
          </cell>
          <cell r="BA25">
            <v>1571</v>
          </cell>
          <cell r="BB25">
            <v>1596.5</v>
          </cell>
          <cell r="BC25">
            <v>26</v>
          </cell>
          <cell r="BD25">
            <v>71.900000000000006</v>
          </cell>
          <cell r="BE25">
            <v>2</v>
          </cell>
          <cell r="BF25" t="str">
            <v>Formation evaluation completed</v>
          </cell>
          <cell r="BG25" t="str">
            <v>D:\HALLIBURTON CONSULTING\Data Nations\Zona Rokan\BENAR\BENA00010\5_Well_Log_Raw\50233234_BENA00010_T_203650_0.las</v>
          </cell>
          <cell r="BH25" t="str">
            <v>MD used as TVD; no numeric deviation survey found</v>
          </cell>
          <cell r="BI25">
            <v>0</v>
          </cell>
          <cell r="BJ25" t="str">
            <v>No numeric horizontal proof</v>
          </cell>
          <cell r="BK25" t="str">
            <v>No coordinate evidence in source/LAS</v>
          </cell>
          <cell r="BL25" t="str">
            <v>No coordinate evidence in source/LAS</v>
          </cell>
          <cell r="BM25" t="str">
            <v>No coordinate evidence in source/LAS</v>
          </cell>
          <cell r="BN25" t="str">
            <v>No coordinate evidence in source/LAS</v>
          </cell>
          <cell r="BO25" t="str">
            <v>No coordinate evidence after source and LAS-header search</v>
          </cell>
        </row>
        <row r="26">
          <cell r="A26" t="str">
            <v>Intan-00004</v>
          </cell>
          <cell r="B26" t="str">
            <v>INTA00004</v>
          </cell>
          <cell r="C26" t="str">
            <v>INTAN</v>
          </cell>
          <cell r="D26" t="str">
            <v>Bangko</v>
          </cell>
          <cell r="E26">
            <v>1260.34540434783</v>
          </cell>
          <cell r="F26">
            <v>2358.1954799999999</v>
          </cell>
          <cell r="G26">
            <v>0.64926872740180996</v>
          </cell>
          <cell r="H26">
            <v>2578.3989855</v>
          </cell>
          <cell r="I26">
            <v>708.52953972979799</v>
          </cell>
          <cell r="J26">
            <v>0.22499888011538699</v>
          </cell>
          <cell r="K26">
            <v>820</v>
          </cell>
          <cell r="L26">
            <v>0.38446558451687501</v>
          </cell>
          <cell r="M26">
            <v>481.5</v>
          </cell>
          <cell r="N26">
            <v>1.1993932052298437</v>
          </cell>
          <cell r="O26">
            <v>17257.268822601902</v>
          </cell>
          <cell r="P26">
            <v>20906.756490151016</v>
          </cell>
          <cell r="Q26">
            <v>0.12332850323839857</v>
          </cell>
          <cell r="R26">
            <v>4181.351298030203</v>
          </cell>
          <cell r="S26">
            <v>1602.952312530203</v>
          </cell>
          <cell r="T26">
            <v>708.52953972979799</v>
          </cell>
          <cell r="U26" t="str">
            <v>Rokan</v>
          </cell>
          <cell r="V26">
            <v>1409.6315</v>
          </cell>
          <cell r="W26">
            <v>1269.2233250683801</v>
          </cell>
          <cell r="X26">
            <v>30</v>
          </cell>
          <cell r="Y26">
            <v>6</v>
          </cell>
          <cell r="Z26">
            <v>4.7797607895599503</v>
          </cell>
          <cell r="AA26">
            <v>2.8371578101680499</v>
          </cell>
          <cell r="AB26">
            <v>5</v>
          </cell>
          <cell r="AC26">
            <v>5</v>
          </cell>
          <cell r="AD26">
            <v>5</v>
          </cell>
          <cell r="AE26">
            <v>5</v>
          </cell>
          <cell r="AF26">
            <v>5</v>
          </cell>
          <cell r="AG26">
            <v>5</v>
          </cell>
          <cell r="AH26">
            <v>5</v>
          </cell>
          <cell r="AI26">
            <v>0.8</v>
          </cell>
          <cell r="AJ26" t="str">
            <v>Tier 1 - validate for reactivation</v>
          </cell>
          <cell r="AK26" t="str">
            <v>SUSPENDED</v>
          </cell>
          <cell r="AL26" t="str">
            <v>Open Hole</v>
          </cell>
          <cell r="AM26" t="str">
            <v>ESP</v>
          </cell>
          <cell r="AN26" t="str">
            <v>Good</v>
          </cell>
          <cell r="AO26" t="str">
            <v>Shut in well for 4 hours</v>
          </cell>
          <cell r="AP26" t="str">
            <v>FLOW LINE</v>
          </cell>
          <cell r="AQ26" t="str">
            <v>Well source folder found; digital-group classification absent</v>
          </cell>
          <cell r="AR26" t="str">
            <v>No standard-group gap identified in database</v>
          </cell>
          <cell r="AS26" t="str">
            <v>D:\HALLIBURTON CONSULTING\Data Nations\Zona Rokan\INTAN\INTA00004\6_Prod\ProdHist_INTA00004.xlsx</v>
          </cell>
          <cell r="AT26" t="str">
            <v>field+well-number; Value completion uses Formation evaluation completed; Candidate mapped to source well</v>
          </cell>
          <cell r="AU26" t="str">
            <v>NZBP SCREENING CANDIDATE</v>
          </cell>
          <cell r="AV26">
            <v>8</v>
          </cell>
          <cell r="AW26">
            <v>347.36044012711972</v>
          </cell>
          <cell r="AX26">
            <v>69.472088025423943</v>
          </cell>
          <cell r="AY26">
            <v>3255.5</v>
          </cell>
          <cell r="AZ26">
            <v>3287.5</v>
          </cell>
          <cell r="BA26">
            <v>3255.5</v>
          </cell>
          <cell r="BB26">
            <v>3287.5</v>
          </cell>
          <cell r="BC26">
            <v>32.5</v>
          </cell>
          <cell r="BD26">
            <v>89</v>
          </cell>
          <cell r="BE26">
            <v>10</v>
          </cell>
          <cell r="BF26" t="str">
            <v>Formation evaluation completed</v>
          </cell>
          <cell r="BG26" t="str">
            <v>D:\HALLIBURTON CONSULTING\Data Nations\Zona Rokan\INTAN\INTA00004\5_Well_Log_Raw\INTA00004_Intan4_CHFR.las_SCH-9354.las</v>
          </cell>
          <cell r="BH26" t="str">
            <v>MD used as TVD; no numeric deviation survey found</v>
          </cell>
          <cell r="BI26">
            <v>0</v>
          </cell>
          <cell r="BJ26" t="str">
            <v>No numeric horizontal proof</v>
          </cell>
          <cell r="BK26" t="str">
            <v>No coordinate evidence in source/LAS</v>
          </cell>
          <cell r="BL26" t="str">
            <v>No coordinate evidence in source/LAS</v>
          </cell>
          <cell r="BM26" t="str">
            <v>No coordinate evidence in source/LAS</v>
          </cell>
          <cell r="BN26" t="str">
            <v>No coordinate evidence in source/LAS</v>
          </cell>
          <cell r="BO26" t="str">
            <v>No coordinate evidence after source and LAS-header search</v>
          </cell>
        </row>
        <row r="27">
          <cell r="A27" t="str">
            <v>Kerang-00002</v>
          </cell>
          <cell r="B27" t="str">
            <v>KERA00002</v>
          </cell>
          <cell r="C27" t="str">
            <v>KERANG</v>
          </cell>
          <cell r="D27" t="str">
            <v>Bangko</v>
          </cell>
          <cell r="E27">
            <v>610.88801111111104</v>
          </cell>
          <cell r="F27">
            <v>610.88801111111104</v>
          </cell>
          <cell r="G27">
            <v>0.64926872740180996</v>
          </cell>
          <cell r="H27">
            <v>451.83734650000002</v>
          </cell>
          <cell r="I27">
            <v>343.423477283181</v>
          </cell>
          <cell r="J27">
            <v>0.30389660404644198</v>
          </cell>
          <cell r="K27">
            <v>656</v>
          </cell>
          <cell r="L27">
            <v>0.05</v>
          </cell>
          <cell r="M27">
            <v>1085.5</v>
          </cell>
          <cell r="N27">
            <v>1.1993932052298437</v>
          </cell>
          <cell r="O27">
            <v>81100.280518507803</v>
          </cell>
          <cell r="P27">
            <v>62880.636179935143</v>
          </cell>
          <cell r="Q27">
            <v>7.1856357370025901E-3</v>
          </cell>
          <cell r="R27">
            <v>12576.127235987029</v>
          </cell>
          <cell r="S27">
            <v>12124.289889487029</v>
          </cell>
          <cell r="T27">
            <v>343.423477283181</v>
          </cell>
          <cell r="U27" t="str">
            <v>Rokan</v>
          </cell>
          <cell r="V27">
            <v>1137.7075</v>
          </cell>
          <cell r="W27">
            <v>1133.48179543929</v>
          </cell>
          <cell r="X27">
            <v>24</v>
          </cell>
          <cell r="Y27">
            <v>24</v>
          </cell>
          <cell r="Z27">
            <v>1.53985209509596</v>
          </cell>
          <cell r="AA27">
            <v>1.53985209509596</v>
          </cell>
          <cell r="AB27">
            <v>5</v>
          </cell>
          <cell r="AC27">
            <v>4</v>
          </cell>
          <cell r="AD27">
            <v>5</v>
          </cell>
          <cell r="AE27">
            <v>5</v>
          </cell>
          <cell r="AF27">
            <v>5</v>
          </cell>
          <cell r="AG27">
            <v>4</v>
          </cell>
          <cell r="AH27">
            <v>4.5999999999999996</v>
          </cell>
          <cell r="AI27">
            <v>0.8</v>
          </cell>
          <cell r="AJ27" t="str">
            <v>Tier 1 - validate for reactivation</v>
          </cell>
          <cell r="AK27" t="str">
            <v>ON PRODUCTION</v>
          </cell>
          <cell r="AL27" t="str">
            <v>Open Hole</v>
          </cell>
          <cell r="AM27" t="str">
            <v>ESP</v>
          </cell>
          <cell r="AN27" t="str">
            <v>Leak</v>
          </cell>
          <cell r="AO27" t="str">
            <v>SHUT IN WELL</v>
          </cell>
          <cell r="AP27" t="str">
            <v>flow line</v>
          </cell>
          <cell r="AQ27" t="str">
            <v>Well source folder found; digital-group classification absent</v>
          </cell>
          <cell r="AR27" t="str">
            <v>No standard-group gap identified in database</v>
          </cell>
          <cell r="AS27" t="str">
            <v>D:\HALLIBURTON CONSULTING\Data Nations\Zona Rokan\KERANG\KERA00002\6_Prod\ProdHist_KERA00002.xlsx</v>
          </cell>
          <cell r="AT27" t="str">
            <v>field+well-number; Value completion uses Formation evaluation completed; Candidate mapped to source well</v>
          </cell>
          <cell r="AU27" t="str">
            <v>NZBP SCREENING CANDIDATE</v>
          </cell>
          <cell r="AV27">
            <v>9</v>
          </cell>
          <cell r="AW27">
            <v>521.35027694096379</v>
          </cell>
          <cell r="AX27">
            <v>104.27005538819276</v>
          </cell>
          <cell r="AY27">
            <v>2627.5</v>
          </cell>
          <cell r="AZ27">
            <v>2643</v>
          </cell>
          <cell r="BA27">
            <v>2627.5</v>
          </cell>
          <cell r="BB27">
            <v>2643</v>
          </cell>
          <cell r="BC27">
            <v>16</v>
          </cell>
          <cell r="BD27">
            <v>91.1</v>
          </cell>
          <cell r="BE27">
            <v>8</v>
          </cell>
          <cell r="BF27" t="str">
            <v>Formation evaluation completed</v>
          </cell>
          <cell r="BG27" t="str">
            <v>D:\HALLIBURTON CONSULTING\Data Nations\Zona Rokan\KERANG\KERA00002\5_Well_Log_Raw\149790864_KERA00002_T_184907_0.las</v>
          </cell>
          <cell r="BH27" t="str">
            <v>MD used as TVD; no numeric deviation survey found</v>
          </cell>
          <cell r="BI27">
            <v>0</v>
          </cell>
          <cell r="BJ27" t="str">
            <v>No numeric horizontal proof</v>
          </cell>
          <cell r="BK27" t="str">
            <v>No coordinate evidence in source/LAS</v>
          </cell>
          <cell r="BL27" t="str">
            <v>No coordinate evidence in source/LAS</v>
          </cell>
          <cell r="BM27" t="str">
            <v>No coordinate evidence in source/LAS</v>
          </cell>
          <cell r="BN27" t="str">
            <v>No coordinate evidence in source/LAS</v>
          </cell>
          <cell r="BO27" t="str">
            <v>No coordinate evidence after source and LAS-header search</v>
          </cell>
        </row>
        <row r="28">
          <cell r="A28" t="str">
            <v>Kerang-00009</v>
          </cell>
          <cell r="B28" t="str">
            <v>KERA00009</v>
          </cell>
          <cell r="C28" t="str">
            <v>KERANG</v>
          </cell>
          <cell r="D28" t="str">
            <v>Bangko</v>
          </cell>
          <cell r="E28">
            <v>125</v>
          </cell>
          <cell r="F28">
            <v>125</v>
          </cell>
          <cell r="G28">
            <v>0.64926872740180996</v>
          </cell>
          <cell r="H28">
            <v>451.83734650000002</v>
          </cell>
          <cell r="I28">
            <v>70.271365421492504</v>
          </cell>
          <cell r="J28">
            <v>0.34733728464476998</v>
          </cell>
          <cell r="K28">
            <v>656</v>
          </cell>
          <cell r="L28">
            <v>0.55395272265013795</v>
          </cell>
          <cell r="M28">
            <v>646.5</v>
          </cell>
          <cell r="N28">
            <v>1.1993932052298437</v>
          </cell>
          <cell r="O28">
            <v>25920.5315394426</v>
          </cell>
          <cell r="P28">
            <v>20097.3350881353</v>
          </cell>
          <cell r="Q28">
            <v>2.2482450758695243E-2</v>
          </cell>
          <cell r="R28">
            <v>4019.4670176270602</v>
          </cell>
          <cell r="S28">
            <v>3567.6296711270602</v>
          </cell>
          <cell r="T28">
            <v>70.271365421492504</v>
          </cell>
          <cell r="U28" t="str">
            <v>IDENTIFICATION</v>
          </cell>
          <cell r="V28">
            <v>1671.1635000000001</v>
          </cell>
          <cell r="W28">
            <v>1651.74275419061</v>
          </cell>
          <cell r="X28">
            <v>24</v>
          </cell>
          <cell r="Y28">
            <v>24</v>
          </cell>
          <cell r="Z28">
            <v>0.216221839773025</v>
          </cell>
          <cell r="AA28">
            <v>0.216221839773025</v>
          </cell>
          <cell r="AB28">
            <v>3</v>
          </cell>
          <cell r="AC28">
            <v>3</v>
          </cell>
          <cell r="AD28">
            <v>5</v>
          </cell>
          <cell r="AE28">
            <v>5</v>
          </cell>
          <cell r="AF28">
            <v>5</v>
          </cell>
          <cell r="AG28">
            <v>2</v>
          </cell>
          <cell r="AH28">
            <v>3.55</v>
          </cell>
          <cell r="AI28">
            <v>0.75</v>
          </cell>
          <cell r="AJ28" t="str">
            <v>Tier 1 - validate for reactivation</v>
          </cell>
          <cell r="AK28" t="str">
            <v>POP</v>
          </cell>
          <cell r="AL28" t="str">
            <v>COMPLETION REPORT</v>
          </cell>
          <cell r="AM28" t="str">
            <v>SRP</v>
          </cell>
          <cell r="AN28" t="str">
            <v>1:200</v>
          </cell>
          <cell r="AO28" t="str">
            <v>COB, ZID &amp; PEA STRING SIZE</v>
          </cell>
          <cell r="AP28" t="str">
            <v>flow line</v>
          </cell>
          <cell r="AQ28" t="str">
            <v>Well source folder found; digital-group classification absent</v>
          </cell>
          <cell r="AR28" t="str">
            <v>No standard-group gap identified in database</v>
          </cell>
          <cell r="AS28" t="str">
            <v>No usable 6_Prod workbook after recursive search</v>
          </cell>
          <cell r="AT28" t="str">
            <v>field+well-number; Value completion uses Formation evaluation completed; Candidate mapped to source well</v>
          </cell>
          <cell r="AU28" t="str">
            <v>NZBP SCREENING CANDIDATE</v>
          </cell>
          <cell r="AV28">
            <v>22</v>
          </cell>
          <cell r="AW28">
            <v>683.90003393499865</v>
          </cell>
          <cell r="AX28">
            <v>136.78000678699973</v>
          </cell>
          <cell r="AY28">
            <v>3859.5</v>
          </cell>
          <cell r="AZ28">
            <v>3881</v>
          </cell>
          <cell r="BA28">
            <v>3859.5</v>
          </cell>
          <cell r="BB28">
            <v>3881</v>
          </cell>
          <cell r="BC28">
            <v>22</v>
          </cell>
          <cell r="BD28">
            <v>87.5</v>
          </cell>
          <cell r="BE28">
            <v>2</v>
          </cell>
          <cell r="BF28" t="str">
            <v>Formation evaluation completed</v>
          </cell>
          <cell r="BG28" t="str">
            <v>D:\HALLIBURTON CONSULTING\Data Nations\Zona Rokan\KERANG\KERA00009\5_Well_Log_Raw\149828307_KERA00009_T_234222_0.las</v>
          </cell>
          <cell r="BH28" t="str">
            <v>MD used as TVD; no numeric deviation survey found</v>
          </cell>
          <cell r="BI28">
            <v>0</v>
          </cell>
          <cell r="BJ28" t="str">
            <v>No numeric horizontal proof</v>
          </cell>
          <cell r="BK28">
            <v>1.5833333333333299</v>
          </cell>
          <cell r="BL28">
            <v>100.916666666667</v>
          </cell>
          <cell r="BM28">
            <v>713236.10781078401</v>
          </cell>
          <cell r="BN28">
            <v>175104.929916361</v>
          </cell>
          <cell r="BO28" t="str">
            <v>WGS84 / LAS header</v>
          </cell>
        </row>
        <row r="29">
          <cell r="A29" t="str">
            <v>Singa-00001</v>
          </cell>
          <cell r="B29" t="str">
            <v>SING00001</v>
          </cell>
          <cell r="C29" t="str">
            <v>SINGA</v>
          </cell>
          <cell r="D29" t="str">
            <v>Bangko</v>
          </cell>
          <cell r="E29">
            <v>187.62424999999999</v>
          </cell>
          <cell r="F29">
            <v>187.62424999999999</v>
          </cell>
          <cell r="G29">
            <v>0.64926872740180996</v>
          </cell>
          <cell r="H29">
            <v>9.5344359999999995</v>
          </cell>
          <cell r="I29">
            <v>105.476897869468</v>
          </cell>
          <cell r="J29">
            <v>0.27499870942806098</v>
          </cell>
          <cell r="K29">
            <v>656</v>
          </cell>
          <cell r="L29">
            <v>0.28338525093568001</v>
          </cell>
          <cell r="M29">
            <v>619</v>
          </cell>
          <cell r="N29">
            <v>1.1993932052298437</v>
          </cell>
          <cell r="O29">
            <v>31568.2220997642</v>
          </cell>
          <cell r="P29">
            <v>24476.239490314241</v>
          </cell>
          <cell r="Q29">
            <v>3.8953843394827769E-4</v>
          </cell>
          <cell r="R29">
            <v>4895.2478980628484</v>
          </cell>
          <cell r="S29">
            <v>4885.7134620628485</v>
          </cell>
          <cell r="T29">
            <v>105.476897869468</v>
          </cell>
          <cell r="U29" t="str">
            <v>Rokan</v>
          </cell>
          <cell r="V29">
            <v>1213.2660000000001</v>
          </cell>
          <cell r="W29">
            <v>1213.02170777069</v>
          </cell>
          <cell r="X29">
            <v>10</v>
          </cell>
          <cell r="Y29">
            <v>10</v>
          </cell>
          <cell r="Z29">
            <v>0.44192884783527903</v>
          </cell>
          <cell r="AA29">
            <v>0.44192884783527903</v>
          </cell>
          <cell r="AB29">
            <v>3</v>
          </cell>
          <cell r="AC29">
            <v>3</v>
          </cell>
          <cell r="AD29">
            <v>5</v>
          </cell>
          <cell r="AE29">
            <v>5</v>
          </cell>
          <cell r="AF29">
            <v>5</v>
          </cell>
          <cell r="AG29">
            <v>2</v>
          </cell>
          <cell r="AH29">
            <v>3.55</v>
          </cell>
          <cell r="AI29">
            <v>0.8</v>
          </cell>
          <cell r="AJ29" t="str">
            <v>Tier 1 - validate for reactivation</v>
          </cell>
          <cell r="AK29" t="str">
            <v>SUSPENDED</v>
          </cell>
          <cell r="AL29" t="str">
            <v>COMPLETION REPORT</v>
          </cell>
          <cell r="AM29" t="str">
            <v>Artificial-lift record unresolved</v>
          </cell>
          <cell r="AN29" t="str">
            <v>pressure test 427/1/77</v>
          </cell>
          <cell r="AO29" t="str">
            <v>Shutdown reason unresolved</v>
          </cell>
          <cell r="AP29" t="str">
            <v>FLOW LINE</v>
          </cell>
          <cell r="AQ29" t="str">
            <v>Well source folder found; digital-group classification absent</v>
          </cell>
          <cell r="AR29" t="str">
            <v>No standard-group gap identified in database</v>
          </cell>
          <cell r="AS29" t="str">
            <v>D:\HALLIBURTON CONSULTING\Data Nations\Zona Rokan\SINGA\SING00001\6_Prod\ProdHist_SING00001.xlsx</v>
          </cell>
          <cell r="AT29" t="str">
            <v>field+well-number; Value completion uses Formation evaluation completed; Candidate mapped to source well</v>
          </cell>
          <cell r="AU29" t="str">
            <v>NZBP SCREENING CANDIDATE</v>
          </cell>
          <cell r="AV29">
            <v>39</v>
          </cell>
          <cell r="AW29">
            <v>1542.1217126369229</v>
          </cell>
          <cell r="AX29">
            <v>308.42434252738462</v>
          </cell>
          <cell r="AY29">
            <v>2802</v>
          </cell>
          <cell r="AZ29">
            <v>2892.5</v>
          </cell>
          <cell r="BA29">
            <v>2802</v>
          </cell>
          <cell r="BB29">
            <v>2892.5</v>
          </cell>
          <cell r="BC29">
            <v>91</v>
          </cell>
          <cell r="BD29">
            <v>89.6</v>
          </cell>
          <cell r="BE29">
            <v>3</v>
          </cell>
          <cell r="BF29" t="str">
            <v>Formation evaluation completed</v>
          </cell>
          <cell r="BG29" t="str">
            <v>D:\HALLIBURTON CONSULTING\Data Nations\Zona Rokan\SINGA\SING00001\5_Well_Log_Raw\168562400_SING00001_T_040836_0.las</v>
          </cell>
          <cell r="BH29" t="str">
            <v>MD used as TVD; no numeric deviation survey found</v>
          </cell>
          <cell r="BI29">
            <v>0</v>
          </cell>
          <cell r="BJ29" t="str">
            <v>No numeric horizontal proof</v>
          </cell>
          <cell r="BK29" t="str">
            <v>No coordinate evidence in source/LAS</v>
          </cell>
          <cell r="BL29" t="str">
            <v>No coordinate evidence in source/LAS</v>
          </cell>
          <cell r="BM29" t="str">
            <v>No coordinate evidence in source/LAS</v>
          </cell>
          <cell r="BN29" t="str">
            <v>No coordinate evidence in source/LAS</v>
          </cell>
          <cell r="BO29" t="str">
            <v>No coordinate evidence after source and LAS-header search</v>
          </cell>
        </row>
        <row r="30">
          <cell r="A30" t="str">
            <v>Bekasap So-00002</v>
          </cell>
          <cell r="B30" t="str">
            <v>BESO00002</v>
          </cell>
          <cell r="C30" t="str">
            <v>BEKASAP_SO</v>
          </cell>
          <cell r="D30" t="str">
            <v>Bekasap</v>
          </cell>
          <cell r="E30">
            <v>2256</v>
          </cell>
          <cell r="F30">
            <v>2256</v>
          </cell>
          <cell r="G30">
            <v>0.64926872740180996</v>
          </cell>
          <cell r="H30">
            <v>411.89210320000001</v>
          </cell>
          <cell r="I30">
            <v>1268.2576031271001</v>
          </cell>
          <cell r="J30">
            <v>0.192018864871213</v>
          </cell>
          <cell r="K30">
            <v>656</v>
          </cell>
          <cell r="L30">
            <v>0.46179147501243301</v>
          </cell>
          <cell r="M30">
            <v>481</v>
          </cell>
          <cell r="N30">
            <v>1.1993932052298437</v>
          </cell>
          <cell r="O30">
            <v>12864.195254201901</v>
          </cell>
          <cell r="P30">
            <v>9974.1798222574162</v>
          </cell>
          <cell r="Q30">
            <v>4.1295836904891303E-2</v>
          </cell>
          <cell r="R30">
            <v>1994.8359644514833</v>
          </cell>
          <cell r="S30">
            <v>1582.9438612514832</v>
          </cell>
          <cell r="T30">
            <v>1268.2576031271001</v>
          </cell>
          <cell r="U30" t="str">
            <v>Rokan</v>
          </cell>
          <cell r="V30">
            <v>1808.8575000000001</v>
          </cell>
          <cell r="W30">
            <v>1770.24624318258</v>
          </cell>
          <cell r="X30">
            <v>10</v>
          </cell>
          <cell r="Y30">
            <v>10</v>
          </cell>
          <cell r="Z30">
            <v>3.64113993210688</v>
          </cell>
          <cell r="AA30">
            <v>3.64113993210688</v>
          </cell>
          <cell r="AB30">
            <v>5</v>
          </cell>
          <cell r="AC30">
            <v>5</v>
          </cell>
          <cell r="AD30">
            <v>5</v>
          </cell>
          <cell r="AE30">
            <v>5</v>
          </cell>
          <cell r="AF30">
            <v>5</v>
          </cell>
          <cell r="AG30">
            <v>5</v>
          </cell>
          <cell r="AH30">
            <v>5</v>
          </cell>
          <cell r="AI30">
            <v>0.8</v>
          </cell>
          <cell r="AJ30" t="str">
            <v>Tier 1 - validate for reactivation</v>
          </cell>
          <cell r="AK30" t="str">
            <v>PRODUCING</v>
          </cell>
          <cell r="AL30" t="str">
            <v>OPEN HOLE</v>
          </cell>
          <cell r="AM30" t="str">
            <v>PCP</v>
          </cell>
          <cell r="AN30" t="str">
            <v>good</v>
          </cell>
          <cell r="AO30" t="str">
            <v>Shutdown reason unresolved</v>
          </cell>
          <cell r="AP30" t="str">
            <v>Wellhead</v>
          </cell>
          <cell r="AQ30" t="str">
            <v>Well source folder found; digital-group classification absent</v>
          </cell>
          <cell r="AR30" t="str">
            <v>No standard-group gap identified in database</v>
          </cell>
          <cell r="AS30" t="str">
            <v>D:\HALLIBURTON CONSULTING\Data Nations\Zona Rokan\BEKASAP_SO\BESO00002\6_Prod\ProdHist_BESO00002.xlsx</v>
          </cell>
          <cell r="AT30" t="str">
            <v>field+well-number; Value completion uses Formation evaluation completed; Candidate mapped to source well</v>
          </cell>
          <cell r="AU30" t="str">
            <v>NZBP SCREENING CANDIDATE</v>
          </cell>
          <cell r="AV30">
            <v>17</v>
          </cell>
          <cell r="AW30">
            <v>352.51778997583381</v>
          </cell>
          <cell r="AX30">
            <v>70.503557995166759</v>
          </cell>
          <cell r="AY30">
            <v>4177.5</v>
          </cell>
          <cell r="AZ30">
            <v>4198</v>
          </cell>
          <cell r="BA30">
            <v>4177.5</v>
          </cell>
          <cell r="BB30">
            <v>4198</v>
          </cell>
          <cell r="BC30">
            <v>21</v>
          </cell>
          <cell r="BD30">
            <v>80.2</v>
          </cell>
          <cell r="BE30">
            <v>16</v>
          </cell>
          <cell r="BF30" t="str">
            <v>Formation evaluation completed</v>
          </cell>
          <cell r="BG30" t="str">
            <v>D:\HALLIBURTON CONSULTING\Data Nations\Zona Rokan\BEKASAP_SO\BESO00002\5_Well_Log_Raw\BESO00002_beso00002.las_MWDB.las</v>
          </cell>
          <cell r="BH30" t="str">
            <v>MD used as TVD; no numeric deviation survey found</v>
          </cell>
          <cell r="BI30">
            <v>0</v>
          </cell>
          <cell r="BJ30" t="str">
            <v>No numeric horizontal proof</v>
          </cell>
          <cell r="BK30" t="str">
            <v>No coordinate evidence in source/LAS</v>
          </cell>
          <cell r="BL30" t="str">
            <v>No coordinate evidence in source/LAS</v>
          </cell>
          <cell r="BM30" t="str">
            <v>No coordinate evidence in source/LAS</v>
          </cell>
          <cell r="BN30" t="str">
            <v>No coordinate evidence in source/LAS</v>
          </cell>
          <cell r="BO30" t="str">
            <v>No coordinate evidence after source and LAS-header search</v>
          </cell>
        </row>
        <row r="31">
          <cell r="A31" t="str">
            <v>Jorang-00020</v>
          </cell>
          <cell r="B31" t="str">
            <v>JORA00020</v>
          </cell>
          <cell r="C31" t="str">
            <v>JORANG</v>
          </cell>
          <cell r="D31" t="str">
            <v>Bekasap</v>
          </cell>
          <cell r="E31">
            <v>2504.8912700000001</v>
          </cell>
          <cell r="F31">
            <v>2858.3535903225802</v>
          </cell>
          <cell r="G31">
            <v>0.64926872740180996</v>
          </cell>
          <cell r="H31">
            <v>3060.4278334999999</v>
          </cell>
          <cell r="I31">
            <v>1408.17703820221</v>
          </cell>
          <cell r="J31">
            <v>0.25636666666666702</v>
          </cell>
          <cell r="K31">
            <v>656</v>
          </cell>
          <cell r="L31">
            <v>0.65361265944375202</v>
          </cell>
          <cell r="M31">
            <v>1708.5</v>
          </cell>
          <cell r="N31">
            <v>1.1993932052298437</v>
          </cell>
          <cell r="O31">
            <v>39262.832523634803</v>
          </cell>
          <cell r="P31">
            <v>30442.211439071278</v>
          </cell>
          <cell r="Q31">
            <v>0.10053237556756707</v>
          </cell>
          <cell r="R31">
            <v>6088.4422878142559</v>
          </cell>
          <cell r="S31">
            <v>3028.014454314256</v>
          </cell>
          <cell r="T31">
            <v>1408.17703820221</v>
          </cell>
          <cell r="U31" t="str">
            <v>Rokan</v>
          </cell>
          <cell r="V31">
            <v>260.01650000000001</v>
          </cell>
          <cell r="W31">
            <v>246.50479469464599</v>
          </cell>
          <cell r="X31">
            <v>100</v>
          </cell>
          <cell r="Y31">
            <v>3</v>
          </cell>
          <cell r="Z31">
            <v>31.408485783705299</v>
          </cell>
          <cell r="AA31">
            <v>29.033237300172701</v>
          </cell>
          <cell r="AB31">
            <v>5</v>
          </cell>
          <cell r="AC31">
            <v>5</v>
          </cell>
          <cell r="AD31">
            <v>5</v>
          </cell>
          <cell r="AE31">
            <v>5</v>
          </cell>
          <cell r="AF31">
            <v>5</v>
          </cell>
          <cell r="AG31">
            <v>5</v>
          </cell>
          <cell r="AH31">
            <v>5</v>
          </cell>
          <cell r="AI31">
            <v>0.8</v>
          </cell>
          <cell r="AJ31" t="str">
            <v>Tier 1 - validate for reactivation</v>
          </cell>
          <cell r="AK31" t="str">
            <v>SUSPENDED</v>
          </cell>
          <cell r="AL31" t="str">
            <v>Open Hole</v>
          </cell>
          <cell r="AM31" t="str">
            <v>ESP</v>
          </cell>
          <cell r="AN31" t="str">
            <v>Pressure test BOPE to 500 psi</v>
          </cell>
          <cell r="AO31" t="str">
            <v>Re</v>
          </cell>
          <cell r="AP31" t="str">
            <v>WHC</v>
          </cell>
          <cell r="AQ31" t="str">
            <v>Well source folder found; digital-group classification absent</v>
          </cell>
          <cell r="AR31" t="str">
            <v>No standard-group gap identified in database</v>
          </cell>
          <cell r="AS31" t="str">
            <v>D:\HALLIBURTON CONSULTING\Data Nations\Zona Rokan\JORANG\JORA00020\6_Prod\ProdHist_JORA00020.xlsx</v>
          </cell>
          <cell r="AT31" t="str">
            <v>field+well-number; Value completion uses Formation evaluation completed; Candidate mapped to source well</v>
          </cell>
          <cell r="AU31" t="str">
            <v>NZBP SCREENING CANDIDATE</v>
          </cell>
          <cell r="AV31">
            <v>57</v>
          </cell>
          <cell r="AW31">
            <v>1015.6312859391647</v>
          </cell>
          <cell r="AX31">
            <v>203.12625718783295</v>
          </cell>
          <cell r="AY31">
            <v>600.5</v>
          </cell>
          <cell r="AZ31">
            <v>777.5</v>
          </cell>
          <cell r="BA31">
            <v>600.5</v>
          </cell>
          <cell r="BB31">
            <v>777.5</v>
          </cell>
          <cell r="BC31">
            <v>177.5</v>
          </cell>
          <cell r="BD31">
            <v>93.4</v>
          </cell>
          <cell r="BE31">
            <v>5</v>
          </cell>
          <cell r="BF31" t="str">
            <v>Formation evaluation completed</v>
          </cell>
          <cell r="BG31" t="str">
            <v>D:\HALLIBURTON CONSULTING\Data Nations\Zona Rokan\JORANG\JORA00020\5_Well_Log_Raw\JORA00020_jora00020.las_.las</v>
          </cell>
          <cell r="BH31" t="str">
            <v>MD used as TVD; no numeric deviation survey found</v>
          </cell>
          <cell r="BI31">
            <v>0</v>
          </cell>
          <cell r="BJ31" t="str">
            <v>No numeric horizontal proof</v>
          </cell>
          <cell r="BK31" t="str">
            <v>No coordinate evidence in source/LAS</v>
          </cell>
          <cell r="BL31" t="str">
            <v>No coordinate evidence in source/LAS</v>
          </cell>
          <cell r="BM31" t="str">
            <v>No coordinate evidence in source/LAS</v>
          </cell>
          <cell r="BN31" t="str">
            <v>No coordinate evidence in source/LAS</v>
          </cell>
          <cell r="BO31" t="str">
            <v>No coordinate evidence after source and LAS-header search</v>
          </cell>
        </row>
        <row r="32">
          <cell r="A32" t="str">
            <v>Jorang-00025</v>
          </cell>
          <cell r="B32" t="str">
            <v>JORA00025</v>
          </cell>
          <cell r="C32" t="str">
            <v>JORANG</v>
          </cell>
          <cell r="D32" t="str">
            <v>Bekasap</v>
          </cell>
          <cell r="E32">
            <v>378.07477</v>
          </cell>
          <cell r="F32">
            <v>416.353758064516</v>
          </cell>
          <cell r="G32">
            <v>0.64926872740180996</v>
          </cell>
          <cell r="H32">
            <v>565.85425280000004</v>
          </cell>
          <cell r="I32">
            <v>212.54264255453401</v>
          </cell>
          <cell r="J32">
            <v>0.29758013368983999</v>
          </cell>
          <cell r="K32">
            <v>656</v>
          </cell>
          <cell r="L32">
            <v>0.73117948014987599</v>
          </cell>
          <cell r="M32">
            <v>2630</v>
          </cell>
          <cell r="N32">
            <v>1.1993932052298437</v>
          </cell>
          <cell r="O32">
            <v>54445.899348043698</v>
          </cell>
          <cell r="P32">
            <v>42214.314999963703</v>
          </cell>
          <cell r="Q32">
            <v>1.3404321562495722E-2</v>
          </cell>
          <cell r="R32">
            <v>8442.8629999927416</v>
          </cell>
          <cell r="S32">
            <v>7877.0087471927418</v>
          </cell>
          <cell r="T32">
            <v>212.54264255453401</v>
          </cell>
          <cell r="U32" t="str">
            <v>Rokan</v>
          </cell>
          <cell r="V32">
            <v>2342.0970000000002</v>
          </cell>
          <cell r="W32">
            <v>2325.8694473432702</v>
          </cell>
          <cell r="X32">
            <v>2</v>
          </cell>
          <cell r="Y32">
            <v>4</v>
          </cell>
          <cell r="Z32">
            <v>0.50791327852715695</v>
          </cell>
          <cell r="AA32">
            <v>0.46443433435410802</v>
          </cell>
          <cell r="AB32">
            <v>4</v>
          </cell>
          <cell r="AC32">
            <v>4</v>
          </cell>
          <cell r="AD32">
            <v>5</v>
          </cell>
          <cell r="AE32">
            <v>5</v>
          </cell>
          <cell r="AF32">
            <v>5</v>
          </cell>
          <cell r="AG32">
            <v>2</v>
          </cell>
          <cell r="AH32">
            <v>4.05</v>
          </cell>
          <cell r="AI32">
            <v>0.9</v>
          </cell>
          <cell r="AJ32" t="str">
            <v>Tier 1 - validate for reactivation</v>
          </cell>
          <cell r="AK32" t="str">
            <v>SHUT IN</v>
          </cell>
          <cell r="AL32" t="str">
            <v>OPEN HOLE</v>
          </cell>
          <cell r="AM32" t="str">
            <v>ESP</v>
          </cell>
          <cell r="AN32" t="str">
            <v>Pressure test prior' to Jrilli</v>
          </cell>
          <cell r="AO32" t="str">
            <v>4. ABR Had WNTY</v>
          </cell>
          <cell r="AP32" t="str">
            <v>Flow Line</v>
          </cell>
          <cell r="AQ32" t="str">
            <v>Well source folder found; digital-group classification absent</v>
          </cell>
          <cell r="AR32" t="str">
            <v>No standard-group gap identified in database</v>
          </cell>
          <cell r="AS32" t="str">
            <v>D:\HALLIBURTON CONSULTING\Data Nations\Zona Rokan\JORANG\JORA00025\6_Prod\ProdHist_JORA00025.xlsx</v>
          </cell>
          <cell r="AT32" t="str">
            <v>field+well-number; Value completion uses Formation evaluation completed; Candidate mapped to source well</v>
          </cell>
          <cell r="AU32" t="str">
            <v>NZBP SCREENING CANDIDATE</v>
          </cell>
          <cell r="AV32">
            <v>70</v>
          </cell>
          <cell r="AW32">
            <v>1123.5749239534066</v>
          </cell>
          <cell r="AX32">
            <v>224.71498479068134</v>
          </cell>
          <cell r="AY32">
            <v>5409</v>
          </cell>
          <cell r="AZ32">
            <v>5435</v>
          </cell>
          <cell r="BA32">
            <v>5409</v>
          </cell>
          <cell r="BB32">
            <v>5435</v>
          </cell>
          <cell r="BC32">
            <v>26.5</v>
          </cell>
          <cell r="BD32">
            <v>94.7</v>
          </cell>
          <cell r="BE32">
            <v>3</v>
          </cell>
          <cell r="BF32" t="str">
            <v>Formation evaluation completed</v>
          </cell>
          <cell r="BG32" t="str">
            <v>D:\HALLIBURTON CONSULTING\Data Nations\Zona Rokan\JORANG\JORA00025\5_Well_Log_Raw\JORA00025_jora00025.las_.las</v>
          </cell>
          <cell r="BH32" t="str">
            <v>MD used as TVD; no numeric deviation survey found</v>
          </cell>
          <cell r="BI32">
            <v>0</v>
          </cell>
          <cell r="BJ32" t="str">
            <v>No numeric horizontal proof</v>
          </cell>
          <cell r="BK32">
            <v>1.322997</v>
          </cell>
          <cell r="BL32">
            <v>100.81152</v>
          </cell>
          <cell r="BM32">
            <v>701557.2184594</v>
          </cell>
          <cell r="BN32">
            <v>146304.76661813099</v>
          </cell>
          <cell r="BO32" t="str">
            <v>WGS84 / LAS header</v>
          </cell>
        </row>
        <row r="33">
          <cell r="A33" t="str">
            <v>Kopar-00011</v>
          </cell>
          <cell r="B33" t="str">
            <v>KOPA00011D1</v>
          </cell>
          <cell r="C33" t="str">
            <v>KOPAR</v>
          </cell>
          <cell r="D33" t="str">
            <v>Bekasap</v>
          </cell>
          <cell r="E33">
            <v>191.92571626984099</v>
          </cell>
          <cell r="F33">
            <v>881.36</v>
          </cell>
          <cell r="G33">
            <v>0.68533119220012695</v>
          </cell>
          <cell r="H33">
            <v>420.90562384999998</v>
          </cell>
          <cell r="I33">
            <v>102.21756609910101</v>
          </cell>
          <cell r="J33">
            <v>0.18259546609786001</v>
          </cell>
          <cell r="K33">
            <v>656</v>
          </cell>
          <cell r="L33">
            <v>0.33774999999999999</v>
          </cell>
          <cell r="M33">
            <v>670.5</v>
          </cell>
          <cell r="N33">
            <v>1.1993932052298437</v>
          </cell>
          <cell r="O33">
            <v>20982.334929152599</v>
          </cell>
          <cell r="P33">
            <v>16268.532740580302</v>
          </cell>
          <cell r="Q33">
            <v>2.5872377709889663E-2</v>
          </cell>
          <cell r="R33">
            <v>3253.7065481160607</v>
          </cell>
          <cell r="S33">
            <v>2832.800924266061</v>
          </cell>
          <cell r="T33">
            <v>102.21756609910101</v>
          </cell>
          <cell r="U33" t="str">
            <v>Rokan</v>
          </cell>
          <cell r="V33">
            <v>2306.5909999999999</v>
          </cell>
          <cell r="W33">
            <v>2275.7441907800899</v>
          </cell>
          <cell r="X33">
            <v>2</v>
          </cell>
          <cell r="Y33">
            <v>2</v>
          </cell>
          <cell r="Z33">
            <v>1.09172862834002</v>
          </cell>
          <cell r="AA33">
            <v>0.24095818482763401</v>
          </cell>
          <cell r="AB33">
            <v>3</v>
          </cell>
          <cell r="AC33">
            <v>3</v>
          </cell>
          <cell r="AD33">
            <v>5</v>
          </cell>
          <cell r="AE33">
            <v>5</v>
          </cell>
          <cell r="AF33">
            <v>5</v>
          </cell>
          <cell r="AG33">
            <v>2</v>
          </cell>
          <cell r="AH33">
            <v>3.55</v>
          </cell>
          <cell r="AI33">
            <v>0.65</v>
          </cell>
          <cell r="AJ33" t="str">
            <v>Tier 1 - validate for reactivation</v>
          </cell>
          <cell r="AK33" t="str">
            <v>SUSPENDED</v>
          </cell>
          <cell r="AL33" t="str">
            <v>COMPLETION REPORT</v>
          </cell>
          <cell r="AM33" t="str">
            <v>ESP</v>
          </cell>
          <cell r="AN33" t="str">
            <v>good</v>
          </cell>
          <cell r="AO33" t="str">
            <v>P/F - REASONCODE</v>
          </cell>
          <cell r="AP33" t="str">
            <v>choke manifold</v>
          </cell>
          <cell r="AQ33" t="str">
            <v>Well source folder found; digital-group classification absent</v>
          </cell>
          <cell r="AR33" t="str">
            <v>No standard-group gap identified in database</v>
          </cell>
          <cell r="AS33" t="str">
            <v>No usable 6_Prod workbook after recursive search</v>
          </cell>
          <cell r="AT33" t="str">
            <v>field+well-number; Value completion uses Formation evaluation completed; Candidate mapped to source well</v>
          </cell>
          <cell r="AU33" t="str">
            <v>No qualifying &gt;=5 ft NZBP interval in interpreted LAS</v>
          </cell>
          <cell r="AV33">
            <v>0</v>
          </cell>
          <cell r="AW33">
            <v>0</v>
          </cell>
          <cell r="AX33">
            <v>0</v>
          </cell>
          <cell r="AY33" t="str">
            <v>No qualifying &gt;=5 ft interval</v>
          </cell>
          <cell r="AZ33" t="str">
            <v>No qualifying &gt;=5 ft interval</v>
          </cell>
          <cell r="BA33" t="str">
            <v>No qualifying &gt;=5 ft interval</v>
          </cell>
          <cell r="BB33" t="str">
            <v>No qualifying &gt;=5 ft interval</v>
          </cell>
          <cell r="BC33" t="str">
            <v>No qualifying &gt;=5 ft interval</v>
          </cell>
          <cell r="BD33" t="str">
            <v>No qualifying &gt;=5 ft interval</v>
          </cell>
          <cell r="BE33">
            <v>1</v>
          </cell>
          <cell r="BF33" t="str">
            <v>Formation evaluation completed</v>
          </cell>
          <cell r="BG33" t="str">
            <v>D:\HALLIBURTON CONSULTING\Data Nations\Zona Rokan\KOPAR\KOPA00011D1\5_Well_Log_Raw\150060649_KOPA00011D1_T_103448_0.las</v>
          </cell>
          <cell r="BH33" t="str">
            <v>MD used as TVD; no numeric deviation survey found</v>
          </cell>
          <cell r="BI33">
            <v>0</v>
          </cell>
          <cell r="BJ33" t="str">
            <v>No numeric horizontal proof</v>
          </cell>
          <cell r="BK33" t="str">
            <v>No coordinate evidence in source/LAS</v>
          </cell>
          <cell r="BL33" t="str">
            <v>No coordinate evidence in source/LAS</v>
          </cell>
          <cell r="BM33" t="str">
            <v>No coordinate evidence in source/LAS</v>
          </cell>
          <cell r="BN33" t="str">
            <v>No coordinate evidence in source/LAS</v>
          </cell>
          <cell r="BO33" t="str">
            <v>No coordinate evidence after source and LAS-header search</v>
          </cell>
        </row>
        <row r="34">
          <cell r="A34" t="str">
            <v>Kopar-00013</v>
          </cell>
          <cell r="B34" t="str">
            <v>KOPA00013D1</v>
          </cell>
          <cell r="C34" t="str">
            <v>KOPAR</v>
          </cell>
          <cell r="D34" t="str">
            <v>Bekasap</v>
          </cell>
          <cell r="E34">
            <v>397.63197241379299</v>
          </cell>
          <cell r="F34">
            <v>2483.1004866666699</v>
          </cell>
          <cell r="G34">
            <v>0.68533119220012695</v>
          </cell>
          <cell r="H34">
            <v>2894.9113480000001</v>
          </cell>
          <cell r="I34">
            <v>211.77449907847301</v>
          </cell>
          <cell r="J34">
            <v>0.14940000000000001</v>
          </cell>
          <cell r="K34">
            <v>820</v>
          </cell>
          <cell r="L34">
            <v>0.3987</v>
          </cell>
          <cell r="M34">
            <v>670.5</v>
          </cell>
          <cell r="N34">
            <v>1.1993932052298437</v>
          </cell>
          <cell r="O34">
            <v>15587.758182559</v>
          </cell>
          <cell r="P34">
            <v>18884.185435142695</v>
          </cell>
          <cell r="Q34">
            <v>0.15329818476642834</v>
          </cell>
          <cell r="R34">
            <v>3776.8370870285394</v>
          </cell>
          <cell r="S34">
            <v>881.92573902853928</v>
          </cell>
          <cell r="T34">
            <v>211.77449907847301</v>
          </cell>
          <cell r="U34" t="str">
            <v>Rokan</v>
          </cell>
          <cell r="V34">
            <v>2353.1385</v>
          </cell>
          <cell r="W34">
            <v>2061.79331885275</v>
          </cell>
          <cell r="X34">
            <v>7</v>
          </cell>
          <cell r="Y34">
            <v>7</v>
          </cell>
          <cell r="Z34">
            <v>3.0149406076385299</v>
          </cell>
          <cell r="AA34">
            <v>0.55102096770099696</v>
          </cell>
          <cell r="AB34">
            <v>4</v>
          </cell>
          <cell r="AC34">
            <v>4</v>
          </cell>
          <cell r="AD34">
            <v>5</v>
          </cell>
          <cell r="AE34">
            <v>5</v>
          </cell>
          <cell r="AF34">
            <v>5</v>
          </cell>
          <cell r="AG34">
            <v>3</v>
          </cell>
          <cell r="AH34">
            <v>4.2</v>
          </cell>
          <cell r="AI34">
            <v>0.8</v>
          </cell>
          <cell r="AJ34" t="str">
            <v>Tier 1 - validate for reactivation</v>
          </cell>
          <cell r="AK34" t="str">
            <v>SUSPENDED</v>
          </cell>
          <cell r="AL34" t="str">
            <v>COMPLETION REPORT</v>
          </cell>
          <cell r="AM34" t="str">
            <v>ESP</v>
          </cell>
          <cell r="AN34" t="str">
            <v>good</v>
          </cell>
          <cell r="AO34" t="str">
            <v>P/F - REASONCODE</v>
          </cell>
          <cell r="AP34" t="str">
            <v>Manifold</v>
          </cell>
          <cell r="AQ34" t="str">
            <v>Well source folder found; digital-group classification absent</v>
          </cell>
          <cell r="AR34" t="str">
            <v>No standard-group gap identified in database</v>
          </cell>
          <cell r="AS34" t="str">
            <v>D:\HALLIBURTON CONSULTING\Data Nations\Zona Rokan\KOPAR\KOPA00013D1\6_Prod\ProdHist_KOPA00013.xlsx</v>
          </cell>
          <cell r="AT34" t="str">
            <v>field+well-number; Value completion uses Formation evaluation completed; Candidate mapped to source well</v>
          </cell>
          <cell r="AU34" t="str">
            <v>NZBP SCREENING CANDIDATE</v>
          </cell>
          <cell r="AV34">
            <v>23</v>
          </cell>
          <cell r="AW34">
            <v>647.77966444188212</v>
          </cell>
          <cell r="AX34">
            <v>129.55593288837642</v>
          </cell>
          <cell r="AY34">
            <v>5434.5</v>
          </cell>
          <cell r="AZ34">
            <v>5456.5</v>
          </cell>
          <cell r="BA34">
            <v>5434.5</v>
          </cell>
          <cell r="BB34">
            <v>5456.5</v>
          </cell>
          <cell r="BC34">
            <v>22.5</v>
          </cell>
          <cell r="BD34">
            <v>82.2</v>
          </cell>
          <cell r="BE34">
            <v>1</v>
          </cell>
          <cell r="BF34" t="str">
            <v>Formation evaluation completed</v>
          </cell>
          <cell r="BG34" t="str">
            <v>D:\HALLIBURTON CONSULTING\Data Nations\Zona Rokan\KOPAR\KOPA00013D1\5_Well_Log_Raw\150081078_KOPA00013D1_T_181502_0.las</v>
          </cell>
          <cell r="BH34" t="str">
            <v>MD used as TVD; no numeric deviation survey found</v>
          </cell>
          <cell r="BI34">
            <v>0</v>
          </cell>
          <cell r="BJ34" t="str">
            <v>No numeric horizontal proof</v>
          </cell>
          <cell r="BK34" t="str">
            <v>No coordinate evidence in source/LAS</v>
          </cell>
          <cell r="BL34" t="str">
            <v>No coordinate evidence in source/LAS</v>
          </cell>
          <cell r="BM34" t="str">
            <v>No coordinate evidence in source/LAS</v>
          </cell>
          <cell r="BN34" t="str">
            <v>No coordinate evidence in source/LAS</v>
          </cell>
          <cell r="BO34" t="str">
            <v>No coordinate evidence after source and LAS-header search</v>
          </cell>
        </row>
        <row r="35">
          <cell r="A35" t="str">
            <v>Kopar-00014</v>
          </cell>
          <cell r="B35" t="str">
            <v>KOPA00014D1</v>
          </cell>
          <cell r="C35" t="str">
            <v>KOPAR</v>
          </cell>
          <cell r="D35" t="str">
            <v>Bekasap</v>
          </cell>
          <cell r="E35">
            <v>2</v>
          </cell>
          <cell r="F35">
            <v>1115</v>
          </cell>
          <cell r="G35">
            <v>0.68533119220012695</v>
          </cell>
          <cell r="H35">
            <v>420.90562384999998</v>
          </cell>
          <cell r="I35">
            <v>1.0651784251297101</v>
          </cell>
          <cell r="J35">
            <v>0.15275</v>
          </cell>
          <cell r="K35">
            <v>656</v>
          </cell>
          <cell r="L35">
            <v>0.29544999999999999</v>
          </cell>
          <cell r="M35">
            <v>574</v>
          </cell>
          <cell r="N35">
            <v>1.1993932052298437</v>
          </cell>
          <cell r="O35">
            <v>15986.301772929701</v>
          </cell>
          <cell r="P35">
            <v>12394.887159691631</v>
          </cell>
          <cell r="Q35">
            <v>3.3958003685486682E-2</v>
          </cell>
          <cell r="R35">
            <v>2478.9774319383264</v>
          </cell>
          <cell r="S35">
            <v>2058.0718080883262</v>
          </cell>
          <cell r="T35">
            <v>1.0651784251297101</v>
          </cell>
          <cell r="U35" t="str">
            <v>Rokan</v>
          </cell>
          <cell r="V35">
            <v>2619.65</v>
          </cell>
          <cell r="W35">
            <v>2573.6679071982799</v>
          </cell>
          <cell r="X35">
            <v>7</v>
          </cell>
          <cell r="Y35">
            <v>7</v>
          </cell>
          <cell r="Z35">
            <v>1.21608393705811</v>
          </cell>
          <cell r="AA35">
            <v>2.2202886776119999E-3</v>
          </cell>
          <cell r="AB35">
            <v>1</v>
          </cell>
          <cell r="AC35">
            <v>1</v>
          </cell>
          <cell r="AD35">
            <v>5</v>
          </cell>
          <cell r="AE35">
            <v>5</v>
          </cell>
          <cell r="AF35">
            <v>5</v>
          </cell>
          <cell r="AG35">
            <v>1</v>
          </cell>
          <cell r="AH35">
            <v>2.4</v>
          </cell>
          <cell r="AI35">
            <v>0.55000000000000004</v>
          </cell>
          <cell r="AJ35" t="str">
            <v>Tier 3 - acquire / validate critical data</v>
          </cell>
          <cell r="AK35" t="str">
            <v>POP</v>
          </cell>
          <cell r="AL35" t="str">
            <v>open hole</v>
          </cell>
          <cell r="AM35" t="str">
            <v>ESP</v>
          </cell>
          <cell r="AN35" t="str">
            <v>good</v>
          </cell>
          <cell r="AO35" t="str">
            <v>shut in well</v>
          </cell>
          <cell r="AP35" t="str">
            <v>WHC</v>
          </cell>
          <cell r="AQ35" t="str">
            <v>Well source folder found; digital-group classification absent</v>
          </cell>
          <cell r="AR35" t="str">
            <v>No standard-group gap identified in database</v>
          </cell>
          <cell r="AS35" t="str">
            <v>No usable 6_Prod workbook after recursive search</v>
          </cell>
          <cell r="AT35" t="str">
            <v>field+well-number; Value completion uses Formation evaluation completed; Candidate mapped to source well</v>
          </cell>
          <cell r="AU35" t="str">
            <v>UNCONFIRMED - NO PERFORATION HISTORY</v>
          </cell>
          <cell r="AV35">
            <v>0</v>
          </cell>
          <cell r="AW35">
            <v>0</v>
          </cell>
          <cell r="AX35">
            <v>0</v>
          </cell>
          <cell r="AY35">
            <v>6050</v>
          </cell>
          <cell r="AZ35">
            <v>6076</v>
          </cell>
          <cell r="BA35">
            <v>6050</v>
          </cell>
          <cell r="BB35">
            <v>6076</v>
          </cell>
          <cell r="BC35">
            <v>26.5</v>
          </cell>
          <cell r="BD35">
            <v>83</v>
          </cell>
          <cell r="BE35">
            <v>0</v>
          </cell>
          <cell r="BF35" t="str">
            <v>Formation evaluation completed</v>
          </cell>
          <cell r="BG35" t="str">
            <v>D:\HALLIBURTON CONSULTING\Data Nations\Zona Rokan\KOPAR\KOPA00014D1\5_Well_Log_Raw\150086182_KOPA00014D1_T_012745_0.las</v>
          </cell>
          <cell r="BH35" t="str">
            <v>MD used as TVD; no numeric deviation survey found</v>
          </cell>
          <cell r="BI35">
            <v>0</v>
          </cell>
          <cell r="BJ35" t="str">
            <v>No numeric horizontal proof</v>
          </cell>
          <cell r="BK35" t="str">
            <v>No coordinate evidence in source/LAS</v>
          </cell>
          <cell r="BL35" t="str">
            <v>No coordinate evidence in source/LAS</v>
          </cell>
          <cell r="BM35" t="str">
            <v>No coordinate evidence in source/LAS</v>
          </cell>
          <cell r="BN35" t="str">
            <v>No coordinate evidence in source/LAS</v>
          </cell>
          <cell r="BO35" t="str">
            <v>No coordinate evidence after source and LAS-header search</v>
          </cell>
        </row>
        <row r="36">
          <cell r="A36" t="str">
            <v>Kopar-00021</v>
          </cell>
          <cell r="B36" t="str">
            <v>KOPA00021D1</v>
          </cell>
          <cell r="C36" t="str">
            <v>KOPAR</v>
          </cell>
          <cell r="D36" t="str">
            <v>Bekasap</v>
          </cell>
          <cell r="E36">
            <v>2743.14615</v>
          </cell>
          <cell r="F36">
            <v>2743.14615</v>
          </cell>
          <cell r="G36">
            <v>0.68533119220012695</v>
          </cell>
          <cell r="H36">
            <v>489.60919059999998</v>
          </cell>
          <cell r="I36">
            <v>1460.97004797882</v>
          </cell>
          <cell r="J36">
            <v>0.15770000000000001</v>
          </cell>
          <cell r="K36">
            <v>656</v>
          </cell>
          <cell r="L36">
            <v>0.2959</v>
          </cell>
          <cell r="M36">
            <v>459.5</v>
          </cell>
          <cell r="N36">
            <v>1.1993932052298437</v>
          </cell>
          <cell r="O36">
            <v>13203.669034504899</v>
          </cell>
          <cell r="P36">
            <v>10237.388865868432</v>
          </cell>
          <cell r="Q36">
            <v>4.7825592738043043E-2</v>
          </cell>
          <cell r="R36">
            <v>2047.4777731736865</v>
          </cell>
          <cell r="S36">
            <v>1557.8685825736866</v>
          </cell>
          <cell r="T36">
            <v>1460.97004797882</v>
          </cell>
          <cell r="U36" t="str">
            <v>Rokan</v>
          </cell>
          <cell r="V36">
            <v>2367.8604999999998</v>
          </cell>
          <cell r="W36">
            <v>2309.3249389207699</v>
          </cell>
          <cell r="X36">
            <v>18.2</v>
          </cell>
          <cell r="Y36">
            <v>4</v>
          </cell>
          <cell r="Z36">
            <v>3.3938751089026802</v>
          </cell>
          <cell r="AA36">
            <v>3.3938751089026802</v>
          </cell>
          <cell r="AB36">
            <v>5</v>
          </cell>
          <cell r="AC36">
            <v>5</v>
          </cell>
          <cell r="AD36">
            <v>5</v>
          </cell>
          <cell r="AE36">
            <v>5</v>
          </cell>
          <cell r="AF36">
            <v>5</v>
          </cell>
          <cell r="AG36">
            <v>5</v>
          </cell>
          <cell r="AH36">
            <v>5</v>
          </cell>
          <cell r="AI36">
            <v>0.8</v>
          </cell>
          <cell r="AJ36" t="str">
            <v>Tier 1 - validate for reactivation</v>
          </cell>
          <cell r="AK36" t="str">
            <v>IDLE</v>
          </cell>
          <cell r="AL36" t="str">
            <v>OPEN HOLE</v>
          </cell>
          <cell r="AM36" t="str">
            <v>ESP</v>
          </cell>
          <cell r="AN36" t="str">
            <v>good</v>
          </cell>
          <cell r="AO36" t="str">
            <v>REASON CODE</v>
          </cell>
          <cell r="AP36" t="str">
            <v>Yes</v>
          </cell>
          <cell r="AQ36" t="str">
            <v>Well source folder found; digital-group classification absent</v>
          </cell>
          <cell r="AR36" t="str">
            <v>No standard-group gap identified in database</v>
          </cell>
          <cell r="AS36" t="str">
            <v>D:\HALLIBURTON CONSULTING\Data Nations\Zona Rokan\KOPAR\KOPA00021D1\6_Prod\ProdHist_KOPA00021.xlsx</v>
          </cell>
          <cell r="AT36" t="str">
            <v>field+well-number; Value completion uses Formation evaluation completed; Candidate mapped to source well</v>
          </cell>
          <cell r="AU36" t="str">
            <v>NZBP SCREENING CANDIDATE</v>
          </cell>
          <cell r="AV36">
            <v>12</v>
          </cell>
          <cell r="AW36">
            <v>267.35291923921909</v>
          </cell>
          <cell r="AX36">
            <v>53.47058384784382</v>
          </cell>
          <cell r="AY36">
            <v>5468.5</v>
          </cell>
          <cell r="AZ36">
            <v>5489.5</v>
          </cell>
          <cell r="BA36">
            <v>5468.5</v>
          </cell>
          <cell r="BB36">
            <v>5489.5</v>
          </cell>
          <cell r="BC36">
            <v>21.5</v>
          </cell>
          <cell r="BD36">
            <v>84.1</v>
          </cell>
          <cell r="BE36">
            <v>9</v>
          </cell>
          <cell r="BF36" t="str">
            <v>Formation evaluation completed</v>
          </cell>
          <cell r="BG36" t="str">
            <v>D:\HALLIBURTON CONSULTING\Data Nations\Zona Rokan\KOPAR\KOPA00021D1\5_Well_Log_Raw\150166191_KOPA00021D1_T_032812_0.las</v>
          </cell>
          <cell r="BH36" t="str">
            <v>MD used as TVD; no numeric deviation survey found</v>
          </cell>
          <cell r="BI36">
            <v>0</v>
          </cell>
          <cell r="BJ36" t="str">
            <v>No numeric horizontal proof</v>
          </cell>
          <cell r="BK36" t="str">
            <v>No coordinate evidence in source/LAS</v>
          </cell>
          <cell r="BL36" t="str">
            <v>No coordinate evidence in source/LAS</v>
          </cell>
          <cell r="BM36" t="str">
            <v>No coordinate evidence in source/LAS</v>
          </cell>
          <cell r="BN36" t="str">
            <v>No coordinate evidence in source/LAS</v>
          </cell>
          <cell r="BO36" t="str">
            <v>No coordinate evidence after source and LAS-header search</v>
          </cell>
        </row>
        <row r="37">
          <cell r="A37" t="str">
            <v>Kopar-00024</v>
          </cell>
          <cell r="B37" t="str">
            <v>KOPA00024</v>
          </cell>
          <cell r="C37" t="str">
            <v>KOPAR</v>
          </cell>
          <cell r="D37" t="str">
            <v>Bekasap</v>
          </cell>
          <cell r="E37">
            <v>259.62286111111098</v>
          </cell>
          <cell r="F37">
            <v>420.68820322580598</v>
          </cell>
          <cell r="G37">
            <v>0.68533119220012695</v>
          </cell>
          <cell r="H37">
            <v>507.11937169999999</v>
          </cell>
          <cell r="I37">
            <v>138.272335163002</v>
          </cell>
          <cell r="J37">
            <v>0.21425</v>
          </cell>
          <cell r="K37">
            <v>656</v>
          </cell>
          <cell r="L37">
            <v>0.33774999999999999</v>
          </cell>
          <cell r="M37">
            <v>814</v>
          </cell>
          <cell r="N37">
            <v>1.1993932052298437</v>
          </cell>
          <cell r="O37">
            <v>29888.9238650671</v>
          </cell>
          <cell r="P37">
            <v>23174.20525987156</v>
          </cell>
          <cell r="Q37">
            <v>2.1882923967111296E-2</v>
          </cell>
          <cell r="R37">
            <v>4634.841051974312</v>
          </cell>
          <cell r="S37">
            <v>4127.7216802743123</v>
          </cell>
          <cell r="T37">
            <v>138.272335163002</v>
          </cell>
          <cell r="U37" t="str">
            <v>Rokan</v>
          </cell>
          <cell r="V37">
            <v>2377.8195000000001</v>
          </cell>
          <cell r="W37">
            <v>2350.9235092242898</v>
          </cell>
          <cell r="X37">
            <v>7</v>
          </cell>
          <cell r="Y37">
            <v>7</v>
          </cell>
          <cell r="Z37">
            <v>0.50549097394940001</v>
          </cell>
          <cell r="AA37">
            <v>0.31552689837167902</v>
          </cell>
          <cell r="AB37">
            <v>4</v>
          </cell>
          <cell r="AC37">
            <v>3</v>
          </cell>
          <cell r="AD37">
            <v>5</v>
          </cell>
          <cell r="AE37">
            <v>5</v>
          </cell>
          <cell r="AF37">
            <v>5</v>
          </cell>
          <cell r="AG37">
            <v>2</v>
          </cell>
          <cell r="AH37">
            <v>3.8</v>
          </cell>
          <cell r="AI37">
            <v>0.8</v>
          </cell>
          <cell r="AJ37" t="str">
            <v>Tier 1 - validate for reactivation</v>
          </cell>
          <cell r="AK37" t="str">
            <v>SHUT IN</v>
          </cell>
          <cell r="AL37" t="str">
            <v>COMPLETION REPORT</v>
          </cell>
          <cell r="AM37" t="str">
            <v>ESP</v>
          </cell>
          <cell r="AN37" t="str">
            <v>GOOD</v>
          </cell>
          <cell r="AO37" t="str">
            <v>lO. PERFORATED BAICK Fry PY d WAG</v>
          </cell>
          <cell r="AP37" t="str">
            <v>choke manifold</v>
          </cell>
          <cell r="AQ37" t="str">
            <v>Well source folder found; digital-group classification absent</v>
          </cell>
          <cell r="AR37" t="str">
            <v>No standard-group gap identified in database</v>
          </cell>
          <cell r="AS37" t="str">
            <v>D:\HALLIBURTON CONSULTING\Data Nations\Zona Rokan\KOPAR\KOPA00024\6_Prod\ProdHist_KOPA00024.xlsx</v>
          </cell>
          <cell r="AT37" t="str">
            <v>field+well-number; Value completion uses Formation evaluation completed; Candidate mapped to source well</v>
          </cell>
          <cell r="AU37" t="str">
            <v>NZBP SCREENING CANDIDATE</v>
          </cell>
          <cell r="AV37">
            <v>35</v>
          </cell>
          <cell r="AW37">
            <v>996.43388709521446</v>
          </cell>
          <cell r="AX37">
            <v>199.28677741904289</v>
          </cell>
          <cell r="AY37">
            <v>5491.5</v>
          </cell>
          <cell r="AZ37">
            <v>5519.5</v>
          </cell>
          <cell r="BA37">
            <v>5491.5</v>
          </cell>
          <cell r="BB37">
            <v>5519.5</v>
          </cell>
          <cell r="BC37">
            <v>28.5</v>
          </cell>
          <cell r="BD37">
            <v>86.4</v>
          </cell>
          <cell r="BE37">
            <v>1</v>
          </cell>
          <cell r="BF37" t="str">
            <v>Formation evaluation completed</v>
          </cell>
          <cell r="BG37" t="str">
            <v>D:\HALLIBURTON CONSULTING\Data Nations\Zona Rokan\KOPAR\KOPA00024\5_Well_Log_Raw\150199230_KOPA00024_T_230239_0.las</v>
          </cell>
          <cell r="BH37" t="str">
            <v>MD used as TVD; no numeric deviation survey found</v>
          </cell>
          <cell r="BI37">
            <v>0</v>
          </cell>
          <cell r="BJ37" t="str">
            <v>No numeric horizontal proof</v>
          </cell>
          <cell r="BK37" t="str">
            <v>No coordinate evidence in source/LAS</v>
          </cell>
          <cell r="BL37" t="str">
            <v>No coordinate evidence in source/LAS</v>
          </cell>
          <cell r="BM37" t="str">
            <v>No coordinate evidence in source/LAS</v>
          </cell>
          <cell r="BN37" t="str">
            <v>No coordinate evidence in source/LAS</v>
          </cell>
          <cell r="BO37" t="str">
            <v>No coordinate evidence after source and LAS-header search</v>
          </cell>
        </row>
        <row r="38">
          <cell r="A38" t="str">
            <v>Kopar-00031</v>
          </cell>
          <cell r="B38" t="str">
            <v>KOPA00031H1</v>
          </cell>
          <cell r="C38" t="str">
            <v>KOPAR</v>
          </cell>
          <cell r="D38" t="str">
            <v>Bekasap</v>
          </cell>
          <cell r="E38">
            <v>638.16142857142904</v>
          </cell>
          <cell r="F38">
            <v>1036.6412903225801</v>
          </cell>
          <cell r="G38">
            <v>0.68533119220012695</v>
          </cell>
          <cell r="H38">
            <v>349.57987109999999</v>
          </cell>
          <cell r="I38">
            <v>339.87789273212098</v>
          </cell>
          <cell r="J38">
            <v>0.18259546609786001</v>
          </cell>
          <cell r="K38">
            <v>656</v>
          </cell>
          <cell r="L38">
            <v>0.33774999999999999</v>
          </cell>
          <cell r="M38">
            <v>670.5</v>
          </cell>
          <cell r="N38">
            <v>1.1993932052298437</v>
          </cell>
          <cell r="O38">
            <v>20982.334929152599</v>
          </cell>
          <cell r="P38">
            <v>16268.532740580302</v>
          </cell>
          <cell r="Q38">
            <v>2.1488100781701498E-2</v>
          </cell>
          <cell r="R38">
            <v>3253.7065481160607</v>
          </cell>
          <cell r="S38">
            <v>2904.126677016061</v>
          </cell>
          <cell r="T38">
            <v>339.87789273212098</v>
          </cell>
          <cell r="U38" t="str">
            <v>Rokan</v>
          </cell>
          <cell r="V38">
            <v>3279.5419999999999</v>
          </cell>
          <cell r="W38">
            <v>3243.1157435483001</v>
          </cell>
          <cell r="X38">
            <v>7</v>
          </cell>
          <cell r="Y38">
            <v>7</v>
          </cell>
          <cell r="Z38">
            <v>0.90312374656720895</v>
          </cell>
          <cell r="AA38">
            <v>0.56221193183566098</v>
          </cell>
          <cell r="AB38">
            <v>5</v>
          </cell>
          <cell r="AC38">
            <v>4</v>
          </cell>
          <cell r="AD38">
            <v>5</v>
          </cell>
          <cell r="AE38">
            <v>5</v>
          </cell>
          <cell r="AF38">
            <v>5</v>
          </cell>
          <cell r="AG38">
            <v>3</v>
          </cell>
          <cell r="AH38">
            <v>4.45</v>
          </cell>
          <cell r="AI38">
            <v>0.8</v>
          </cell>
          <cell r="AJ38" t="str">
            <v>Tier 1 - validate for reactivation</v>
          </cell>
          <cell r="AK38" t="str">
            <v>SUSPENDED</v>
          </cell>
          <cell r="AL38" t="str">
            <v>OPEN HOLE</v>
          </cell>
          <cell r="AM38" t="str">
            <v>ESP</v>
          </cell>
          <cell r="AN38" t="str">
            <v>Leak</v>
          </cell>
          <cell r="AO38" t="str">
            <v>DOWN HOLE EQUIPMENT</v>
          </cell>
          <cell r="AP38" t="str">
            <v>Wellhead</v>
          </cell>
          <cell r="AQ38" t="str">
            <v>Well source folder found; digital-group classification absent</v>
          </cell>
          <cell r="AR38" t="str">
            <v>No standard-group gap identified in database</v>
          </cell>
          <cell r="AS38" t="str">
            <v>D:\HALLIBURTON CONSULTING\Data Nations\Zona Rokan\KOPAR\KOPA00031H1\6_Prod\ProdHist_KOPA00031.xlsx</v>
          </cell>
          <cell r="AT38" t="str">
            <v>field+well-number; Value completion uses Formation evaluation completed; Candidate mapped to source well</v>
          </cell>
          <cell r="AU38" t="str">
            <v>No qualifying &gt;=5 ft NZBP interval in interpreted LAS</v>
          </cell>
          <cell r="AV38">
            <v>0</v>
          </cell>
          <cell r="AW38">
            <v>0</v>
          </cell>
          <cell r="AX38">
            <v>0</v>
          </cell>
          <cell r="AY38" t="str">
            <v>No qualifying &gt;=5 ft interval</v>
          </cell>
          <cell r="AZ38" t="str">
            <v>No qualifying &gt;=5 ft interval</v>
          </cell>
          <cell r="BA38" t="str">
            <v>No qualifying &gt;=5 ft interval</v>
          </cell>
          <cell r="BB38" t="str">
            <v>No qualifying &gt;=5 ft interval</v>
          </cell>
          <cell r="BC38" t="str">
            <v>No qualifying &gt;=5 ft interval</v>
          </cell>
          <cell r="BD38" t="str">
            <v>No qualifying &gt;=5 ft interval</v>
          </cell>
          <cell r="BE38">
            <v>1</v>
          </cell>
          <cell r="BF38" t="str">
            <v>Formation evaluation completed</v>
          </cell>
          <cell r="BG38" t="str">
            <v>D:\HALLIBURTON CONSULTING\Data Nations\Zona Rokan\KOPAR\KOPA00031H1\5_Well_Log_Raw\KOPA00031H1_lasout~1.las_lasout~1.las.las</v>
          </cell>
          <cell r="BH38" t="str">
            <v>Numeric survey TVD</v>
          </cell>
          <cell r="BI38">
            <v>92.35</v>
          </cell>
          <cell r="BJ38" t="str">
            <v>Horizontal / high-angle numeric survey</v>
          </cell>
          <cell r="BK38" t="str">
            <v>No coordinate evidence in source/LAS</v>
          </cell>
          <cell r="BL38" t="str">
            <v>No coordinate evidence in source/LAS</v>
          </cell>
          <cell r="BM38" t="str">
            <v>No coordinate evidence in source/LAS</v>
          </cell>
          <cell r="BN38" t="str">
            <v>No coordinate evidence in source/LAS</v>
          </cell>
          <cell r="BO38" t="str">
            <v>No coordinate evidence after source and LAS-header search</v>
          </cell>
        </row>
        <row r="39">
          <cell r="A39" t="str">
            <v>Kopar-00032</v>
          </cell>
          <cell r="B39" t="str">
            <v>KOPA00032H1</v>
          </cell>
          <cell r="C39" t="str">
            <v>KOPAR</v>
          </cell>
          <cell r="D39" t="str">
            <v>Bekasap</v>
          </cell>
          <cell r="E39">
            <v>124.228571428571</v>
          </cell>
          <cell r="F39">
            <v>726.07870967741906</v>
          </cell>
          <cell r="G39">
            <v>0.68533119220012695</v>
          </cell>
          <cell r="H39">
            <v>352.20205709999999</v>
          </cell>
          <cell r="I39">
            <v>66.162797035199901</v>
          </cell>
          <cell r="J39">
            <v>0.18259546609786001</v>
          </cell>
          <cell r="K39">
            <v>656</v>
          </cell>
          <cell r="L39">
            <v>0.33774999999999999</v>
          </cell>
          <cell r="M39">
            <v>670.5</v>
          </cell>
          <cell r="N39">
            <v>1.1993932052298437</v>
          </cell>
          <cell r="O39">
            <v>20982.334929152599</v>
          </cell>
          <cell r="P39">
            <v>16268.532740580302</v>
          </cell>
          <cell r="Q39">
            <v>2.1649282250357192E-2</v>
          </cell>
          <cell r="R39">
            <v>3253.7065481160607</v>
          </cell>
          <cell r="S39">
            <v>2901.5044910160609</v>
          </cell>
          <cell r="T39">
            <v>66.162797035199901</v>
          </cell>
          <cell r="U39" t="str">
            <v>Rokan</v>
          </cell>
          <cell r="V39">
            <v>2486.2860000000001</v>
          </cell>
          <cell r="W39">
            <v>2458.4633880522001</v>
          </cell>
          <cell r="X39">
            <v>10</v>
          </cell>
          <cell r="Y39">
            <v>10</v>
          </cell>
          <cell r="Z39">
            <v>0.83438132181025904</v>
          </cell>
          <cell r="AA39">
            <v>0.14437423686484799</v>
          </cell>
          <cell r="AB39">
            <v>3</v>
          </cell>
          <cell r="AC39">
            <v>3</v>
          </cell>
          <cell r="AD39">
            <v>5</v>
          </cell>
          <cell r="AE39">
            <v>5</v>
          </cell>
          <cell r="AF39">
            <v>5</v>
          </cell>
          <cell r="AG39">
            <v>1</v>
          </cell>
          <cell r="AH39">
            <v>3.4</v>
          </cell>
          <cell r="AI39">
            <v>0.7</v>
          </cell>
          <cell r="AJ39" t="str">
            <v>Tier 1 - validate for reactivation</v>
          </cell>
          <cell r="AK39" t="str">
            <v>ABANDONED</v>
          </cell>
          <cell r="AL39" t="str">
            <v>Open Hole</v>
          </cell>
          <cell r="AM39" t="str">
            <v>ESP</v>
          </cell>
          <cell r="AN39" t="str">
            <v>Good</v>
          </cell>
          <cell r="AO39" t="str">
            <v>IC</v>
          </cell>
          <cell r="AP39" t="str">
            <v>choke manifold</v>
          </cell>
          <cell r="AQ39" t="str">
            <v>Well source folder found; digital-group classification absent</v>
          </cell>
          <cell r="AR39" t="str">
            <v>No standard-group gap identified in database</v>
          </cell>
          <cell r="AS39" t="str">
            <v>D:\HALLIBURTON CONSULTING\Data Nations\Zona Rokan\KOPAR\KOPA00032H1\6_Prod\ProdHist_KOPA00032.xlsx</v>
          </cell>
          <cell r="AT39" t="str">
            <v>field+well-number; Value completion uses Formation evaluation completed; Candidate mapped to source well</v>
          </cell>
          <cell r="AU39" t="str">
            <v>No qualifying &gt;=5 ft NZBP interval in interpreted LAS</v>
          </cell>
          <cell r="AV39">
            <v>0</v>
          </cell>
          <cell r="AW39">
            <v>0</v>
          </cell>
          <cell r="AX39">
            <v>0</v>
          </cell>
          <cell r="AY39" t="str">
            <v>No qualifying &gt;=5 ft interval</v>
          </cell>
          <cell r="AZ39" t="str">
            <v>No qualifying &gt;=5 ft interval</v>
          </cell>
          <cell r="BA39" t="str">
            <v>No qualifying &gt;=5 ft interval</v>
          </cell>
          <cell r="BB39" t="str">
            <v>No qualifying &gt;=5 ft interval</v>
          </cell>
          <cell r="BC39" t="str">
            <v>No qualifying &gt;=5 ft interval</v>
          </cell>
          <cell r="BD39" t="str">
            <v>No qualifying &gt;=5 ft interval</v>
          </cell>
          <cell r="BE39">
            <v>0</v>
          </cell>
          <cell r="BF39" t="str">
            <v>Formation evaluation completed</v>
          </cell>
          <cell r="BG39" t="str">
            <v>D:\HALLIBURTON CONSULTING\Data Nations\Zona Rokan\KOPAR\KOPA00032H1\5_Well_Log_Raw\KOPA00032H1_kopar32_gr_ccl_012pup.las_kopar32_gr_ccl_012pup.las.las</v>
          </cell>
          <cell r="BH39" t="str">
            <v>Numeric survey TVD</v>
          </cell>
          <cell r="BI39">
            <v>83.01</v>
          </cell>
          <cell r="BJ39" t="str">
            <v>Horizontal / high-angle numeric survey</v>
          </cell>
          <cell r="BK39" t="str">
            <v>No coordinate evidence in source/LAS</v>
          </cell>
          <cell r="BL39" t="str">
            <v>No coordinate evidence in source/LAS</v>
          </cell>
          <cell r="BM39" t="str">
            <v>No coordinate evidence in source/LAS</v>
          </cell>
          <cell r="BN39" t="str">
            <v>No coordinate evidence in source/LAS</v>
          </cell>
          <cell r="BO39" t="str">
            <v>No coordinate evidence after source and LAS-header search</v>
          </cell>
        </row>
        <row r="40">
          <cell r="A40" t="str">
            <v>Kopar-00033</v>
          </cell>
          <cell r="B40" t="str">
            <v>KOPA00033D1</v>
          </cell>
          <cell r="C40" t="str">
            <v>KOPAR</v>
          </cell>
          <cell r="D40" t="str">
            <v>Bekasap</v>
          </cell>
          <cell r="E40">
            <v>91.284999999999997</v>
          </cell>
          <cell r="F40">
            <v>145.256666666667</v>
          </cell>
          <cell r="G40">
            <v>0.68533119220012695</v>
          </cell>
          <cell r="H40">
            <v>9.6257982999999996</v>
          </cell>
          <cell r="I40">
            <v>48.617406268982997</v>
          </cell>
          <cell r="J40">
            <v>0.20749093219572001</v>
          </cell>
          <cell r="K40">
            <v>656</v>
          </cell>
          <cell r="L40">
            <v>0.55979999999999996</v>
          </cell>
          <cell r="M40">
            <v>1151</v>
          </cell>
          <cell r="N40">
            <v>1.1993932052298437</v>
          </cell>
          <cell r="O40">
            <v>27206.179557371699</v>
          </cell>
          <cell r="P40">
            <v>21094.154886463937</v>
          </cell>
          <cell r="Q40">
            <v>4.5632538263843167E-4</v>
          </cell>
          <cell r="R40">
            <v>4218.8309772927878</v>
          </cell>
          <cell r="S40">
            <v>4209.2051789927882</v>
          </cell>
          <cell r="T40">
            <v>48.617406268982997</v>
          </cell>
          <cell r="U40" t="str">
            <v>Rokan</v>
          </cell>
          <cell r="V40">
            <v>862.10299999999995</v>
          </cell>
          <cell r="W40">
            <v>861.89965331610097</v>
          </cell>
          <cell r="X40">
            <v>11</v>
          </cell>
          <cell r="Y40">
            <v>11</v>
          </cell>
          <cell r="Z40">
            <v>0.48140308944412402</v>
          </cell>
          <cell r="AA40">
            <v>0.30260400350646399</v>
          </cell>
          <cell r="AB40">
            <v>3</v>
          </cell>
          <cell r="AC40">
            <v>2</v>
          </cell>
          <cell r="AD40">
            <v>5</v>
          </cell>
          <cell r="AE40">
            <v>5</v>
          </cell>
          <cell r="AF40">
            <v>5</v>
          </cell>
          <cell r="AG40">
            <v>2</v>
          </cell>
          <cell r="AH40">
            <v>3.3</v>
          </cell>
          <cell r="AI40">
            <v>0.8</v>
          </cell>
          <cell r="AJ40" t="str">
            <v>Tier 1 - validate for reactivation</v>
          </cell>
          <cell r="AK40" t="str">
            <v>ON PRODUCTION</v>
          </cell>
          <cell r="AL40" t="str">
            <v>open hole</v>
          </cell>
          <cell r="AM40" t="str">
            <v>SRP</v>
          </cell>
          <cell r="AN40" t="str">
            <v>Good</v>
          </cell>
          <cell r="AO40" t="str">
            <v>RE INITIAL COMPLETION. CSG SIZE 7</v>
          </cell>
          <cell r="AP40" t="str">
            <v>choke manifold</v>
          </cell>
          <cell r="AQ40" t="str">
            <v>Well source folder found; digital-group classification absent</v>
          </cell>
          <cell r="AR40" t="str">
            <v>No standard-group gap identified in database</v>
          </cell>
          <cell r="AS40" t="str">
            <v>D:\HALLIBURTON CONSULTING\Data Nations\Zona Rokan\KOPAR\KOPA00033D1\6_Prod\ProdHist_KOPA00033.xlsx</v>
          </cell>
          <cell r="AT40" t="str">
            <v>field+well-number; Value completion uses Formation evaluation completed; Candidate mapped to source well</v>
          </cell>
          <cell r="AU40" t="str">
            <v>NZBP SCREENING CANDIDATE</v>
          </cell>
          <cell r="AV40">
            <v>25</v>
          </cell>
          <cell r="AW40">
            <v>458.17017563996393</v>
          </cell>
          <cell r="AX40">
            <v>91.634035127992789</v>
          </cell>
          <cell r="AY40">
            <v>1991</v>
          </cell>
          <cell r="AZ40">
            <v>2029</v>
          </cell>
          <cell r="BA40">
            <v>1991</v>
          </cell>
          <cell r="BB40">
            <v>2029</v>
          </cell>
          <cell r="BC40">
            <v>38.5</v>
          </cell>
          <cell r="BD40">
            <v>75.099999999999994</v>
          </cell>
          <cell r="BE40">
            <v>6</v>
          </cell>
          <cell r="BF40" t="str">
            <v>Formation evaluation completed</v>
          </cell>
          <cell r="BG40" t="str">
            <v>D:\HALLIBURTON CONSULTING\Data Nations\Zona Rokan\KOPAR\KOPA00033D1\5_Well_Log_Raw\150264111_KOPA00033D1_T_124349_0.las</v>
          </cell>
          <cell r="BH40" t="str">
            <v>MD used as TVD; no numeric deviation survey found</v>
          </cell>
          <cell r="BI40">
            <v>0</v>
          </cell>
          <cell r="BJ40" t="str">
            <v>No numeric horizontal proof</v>
          </cell>
          <cell r="BK40" t="str">
            <v>No coordinate evidence in source/LAS</v>
          </cell>
          <cell r="BL40" t="str">
            <v>No coordinate evidence in source/LAS</v>
          </cell>
          <cell r="BM40" t="str">
            <v>No coordinate evidence in source/LAS</v>
          </cell>
          <cell r="BN40" t="str">
            <v>No coordinate evidence in source/LAS</v>
          </cell>
          <cell r="BO40" t="str">
            <v>No coordinate evidence after source and LAS-header search</v>
          </cell>
        </row>
        <row r="41">
          <cell r="A41" t="str">
            <v>Kopar-00039</v>
          </cell>
          <cell r="B41" t="str">
            <v>KOPA00039H1</v>
          </cell>
          <cell r="C41" t="str">
            <v>KOPAR</v>
          </cell>
          <cell r="D41" t="str">
            <v>Bekasap</v>
          </cell>
          <cell r="E41">
            <v>0</v>
          </cell>
          <cell r="F41">
            <v>11</v>
          </cell>
          <cell r="G41">
            <v>0.68533119220012695</v>
          </cell>
          <cell r="H41">
            <v>420.90562384999998</v>
          </cell>
          <cell r="I41">
            <v>0</v>
          </cell>
          <cell r="J41">
            <v>0.45</v>
          </cell>
          <cell r="K41">
            <v>656</v>
          </cell>
          <cell r="L41">
            <v>0.33774999999999999</v>
          </cell>
          <cell r="M41">
            <v>670.5</v>
          </cell>
          <cell r="N41">
            <v>1.1993932052298437</v>
          </cell>
          <cell r="O41">
            <v>51710.214497102199</v>
          </cell>
          <cell r="P41">
            <v>40093.217480753941</v>
          </cell>
          <cell r="Q41">
            <v>1.0498175259993751E-2</v>
          </cell>
          <cell r="R41">
            <v>8018.6434961507885</v>
          </cell>
          <cell r="S41">
            <v>7597.7378723007887</v>
          </cell>
          <cell r="T41">
            <v>0.01</v>
          </cell>
          <cell r="U41" t="str">
            <v>Rokan</v>
          </cell>
          <cell r="V41">
            <v>2185.0479</v>
          </cell>
          <cell r="W41">
            <v>2173.1908106617102</v>
          </cell>
          <cell r="X41">
            <v>7</v>
          </cell>
          <cell r="Y41">
            <v>7</v>
          </cell>
          <cell r="Z41">
            <v>0.5</v>
          </cell>
          <cell r="AA41">
            <v>0.5</v>
          </cell>
          <cell r="AB41">
            <v>1</v>
          </cell>
          <cell r="AC41">
            <v>1</v>
          </cell>
          <cell r="AD41">
            <v>5</v>
          </cell>
          <cell r="AE41">
            <v>5</v>
          </cell>
          <cell r="AF41">
            <v>5</v>
          </cell>
          <cell r="AG41">
            <v>3</v>
          </cell>
          <cell r="AH41">
            <v>2.7</v>
          </cell>
          <cell r="AI41">
            <v>0.65</v>
          </cell>
          <cell r="AJ41" t="str">
            <v>Tier 2 - subsurface / integrity review</v>
          </cell>
          <cell r="AK41" t="str">
            <v>POP</v>
          </cell>
          <cell r="AL41" t="str">
            <v>Open Hole</v>
          </cell>
          <cell r="AM41" t="str">
            <v>ESP</v>
          </cell>
          <cell r="AN41" t="str">
            <v>Good</v>
          </cell>
          <cell r="AO41" t="str">
            <v>P/F - REASONCODE</v>
          </cell>
          <cell r="AP41" t="str">
            <v>FACILITY</v>
          </cell>
          <cell r="AQ41" t="str">
            <v>Well source folder found; digital-group classification absent</v>
          </cell>
          <cell r="AR41" t="str">
            <v>No standard-group gap identified in database</v>
          </cell>
          <cell r="AS41" t="str">
            <v>No usable 6_Prod workbook after recursive search</v>
          </cell>
          <cell r="AT41" t="str">
            <v>field+well-number; Value completion uses Formation evaluation completed; Candidate mapped to source well</v>
          </cell>
          <cell r="AU41" t="str">
            <v>No qualifying &gt;=5 ft NZBP interval in interpreted LAS</v>
          </cell>
          <cell r="AV41">
            <v>0</v>
          </cell>
          <cell r="AW41">
            <v>0</v>
          </cell>
          <cell r="AX41">
            <v>0</v>
          </cell>
          <cell r="AY41" t="str">
            <v>No qualifying &gt;=5 ft interval</v>
          </cell>
          <cell r="AZ41" t="str">
            <v>No qualifying &gt;=5 ft interval</v>
          </cell>
          <cell r="BA41" t="str">
            <v>No qualifying &gt;=5 ft interval</v>
          </cell>
          <cell r="BB41" t="str">
            <v>No qualifying &gt;=5 ft interval</v>
          </cell>
          <cell r="BC41" t="str">
            <v>No qualifying &gt;=5 ft interval</v>
          </cell>
          <cell r="BD41" t="str">
            <v>No qualifying &gt;=5 ft interval</v>
          </cell>
          <cell r="BE41">
            <v>2</v>
          </cell>
          <cell r="BF41" t="str">
            <v>Formation evaluation completed</v>
          </cell>
          <cell r="BG41" t="str">
            <v>D:\HALLIBURTON CONSULTING\Data Nations\Zona Rokan\KOPAR\KOPA00039H1\5_Well_Log_Raw\839286267_PERFO_KOPA00039H1_26SEP19_R1_WFT_MAIN_CORR3.las</v>
          </cell>
          <cell r="BH41" t="str">
            <v>Numeric survey TVD</v>
          </cell>
          <cell r="BI41">
            <v>98.22</v>
          </cell>
          <cell r="BJ41" t="str">
            <v>Horizontal / high-angle numeric survey</v>
          </cell>
          <cell r="BK41" t="str">
            <v>No coordinate evidence in source/LAS</v>
          </cell>
          <cell r="BL41" t="str">
            <v>No coordinate evidence in source/LAS</v>
          </cell>
          <cell r="BM41" t="str">
            <v>No coordinate evidence in source/LAS</v>
          </cell>
          <cell r="BN41" t="str">
            <v>No coordinate evidence in source/LAS</v>
          </cell>
          <cell r="BO41" t="str">
            <v>No coordinate evidence after source and LAS-header search</v>
          </cell>
        </row>
        <row r="42">
          <cell r="A42" t="str">
            <v>PEBO-00003</v>
          </cell>
          <cell r="B42" t="str">
            <v>PEBO00003</v>
          </cell>
          <cell r="C42" t="str">
            <v>PEMATANG_BOW</v>
          </cell>
          <cell r="D42" t="str">
            <v>Bekasap</v>
          </cell>
          <cell r="E42">
            <v>31</v>
          </cell>
          <cell r="F42">
            <v>31</v>
          </cell>
          <cell r="G42">
            <v>0.64926872740180996</v>
          </cell>
          <cell r="H42">
            <v>659.25036239999997</v>
          </cell>
          <cell r="I42">
            <v>17.427298624530099</v>
          </cell>
          <cell r="J42">
            <v>0.12959999999999999</v>
          </cell>
          <cell r="K42">
            <v>656</v>
          </cell>
          <cell r="L42">
            <v>0.13769999999999999</v>
          </cell>
          <cell r="M42">
            <v>325.5</v>
          </cell>
          <cell r="N42">
            <v>1.1993932052298437</v>
          </cell>
          <cell r="O42">
            <v>9413.6372044707405</v>
          </cell>
          <cell r="P42">
            <v>7298.8094788296221</v>
          </cell>
          <cell r="Q42">
            <v>9.0322999156529846E-2</v>
          </cell>
          <cell r="R42">
            <v>1459.7618957659245</v>
          </cell>
          <cell r="S42">
            <v>800.51153336592449</v>
          </cell>
          <cell r="T42">
            <v>17.427298624530099</v>
          </cell>
          <cell r="U42" t="str">
            <v>Rokan</v>
          </cell>
          <cell r="V42">
            <v>2115.2049999999999</v>
          </cell>
          <cell r="W42">
            <v>2016.4511295946199</v>
          </cell>
          <cell r="X42">
            <v>26.16</v>
          </cell>
          <cell r="Y42">
            <v>26.16</v>
          </cell>
          <cell r="Z42">
            <v>4.3924411195243998E-2</v>
          </cell>
          <cell r="AA42">
            <v>4.3924411195243998E-2</v>
          </cell>
          <cell r="AB42">
            <v>2</v>
          </cell>
          <cell r="AC42">
            <v>2</v>
          </cell>
          <cell r="AD42">
            <v>5</v>
          </cell>
          <cell r="AE42">
            <v>5</v>
          </cell>
          <cell r="AF42">
            <v>5</v>
          </cell>
          <cell r="AG42">
            <v>1</v>
          </cell>
          <cell r="AH42">
            <v>2.9</v>
          </cell>
          <cell r="AI42">
            <v>0.8</v>
          </cell>
          <cell r="AJ42" t="str">
            <v>Tier 2 - subsurface / integrity review</v>
          </cell>
          <cell r="AK42" t="str">
            <v>PRODUCING</v>
          </cell>
          <cell r="AL42" t="str">
            <v>Cased hole</v>
          </cell>
          <cell r="AM42" t="str">
            <v>SRP</v>
          </cell>
          <cell r="AN42" t="str">
            <v>Good</v>
          </cell>
          <cell r="AO42" t="str">
            <v>RECONDITON AND REPLACE M.VALVE HANGER TYPE</v>
          </cell>
          <cell r="AP42" t="str">
            <v>Wellhead</v>
          </cell>
          <cell r="AQ42" t="str">
            <v>Well source folder found; digital-group classification absent</v>
          </cell>
          <cell r="AR42" t="str">
            <v>No standard-group gap identified in database</v>
          </cell>
          <cell r="AS42" t="str">
            <v>D:\HALLIBURTON CONSULTING\Data Nations\Zona Rokan\PEMATANG_BOW\PEBO00003\6_Prod\ProdHist_PEBO00003.xlsx</v>
          </cell>
          <cell r="AT42" t="str">
            <v>field+well-number; Value completion uses Formation evaluation completed; Candidate mapped to source well</v>
          </cell>
          <cell r="AU42" t="str">
            <v>NZBP SCREENING CANDIDATE</v>
          </cell>
          <cell r="AV42">
            <v>19</v>
          </cell>
          <cell r="AW42">
            <v>426.04417848775057</v>
          </cell>
          <cell r="AX42">
            <v>85.208835697550114</v>
          </cell>
          <cell r="AY42">
            <v>4885</v>
          </cell>
          <cell r="AZ42">
            <v>4919</v>
          </cell>
          <cell r="BA42">
            <v>4885</v>
          </cell>
          <cell r="BB42">
            <v>4919</v>
          </cell>
          <cell r="BC42">
            <v>34.5</v>
          </cell>
          <cell r="BD42">
            <v>80.400000000000006</v>
          </cell>
          <cell r="BE42">
            <v>2</v>
          </cell>
          <cell r="BF42" t="str">
            <v>Formation evaluation completed</v>
          </cell>
          <cell r="BG42" t="str">
            <v>D:\HALLIBURTON CONSULTING\Data Nations\Zona Rokan\PEMATANG_BOW\PEBO00003\5_Well_Log_Raw\PEBO00003_pebo00003.las_.las</v>
          </cell>
          <cell r="BH42" t="str">
            <v>MD used as TVD; no numeric deviation survey found</v>
          </cell>
          <cell r="BI42">
            <v>0</v>
          </cell>
          <cell r="BJ42" t="str">
            <v>No numeric horizontal proof</v>
          </cell>
          <cell r="BK42" t="str">
            <v>No coordinate evidence in source/LAS</v>
          </cell>
          <cell r="BL42" t="str">
            <v>No coordinate evidence in source/LAS</v>
          </cell>
          <cell r="BM42" t="str">
            <v>No coordinate evidence in source/LAS</v>
          </cell>
          <cell r="BN42" t="str">
            <v>No coordinate evidence in source/LAS</v>
          </cell>
          <cell r="BO42" t="str">
            <v>No coordinate evidence after source and LAS-header search</v>
          </cell>
        </row>
        <row r="43">
          <cell r="A43" t="str">
            <v>PEBO-00018</v>
          </cell>
          <cell r="B43" t="str">
            <v>PEBO00018</v>
          </cell>
          <cell r="C43" t="str">
            <v>PEMATANG_BOW</v>
          </cell>
          <cell r="D43" t="str">
            <v>Bekasap</v>
          </cell>
          <cell r="E43">
            <v>199.93454516129</v>
          </cell>
          <cell r="F43">
            <v>373.44986129032299</v>
          </cell>
          <cell r="G43">
            <v>0.64926872740180996</v>
          </cell>
          <cell r="H43">
            <v>913.05773590000001</v>
          </cell>
          <cell r="I43">
            <v>112.39738786727099</v>
          </cell>
          <cell r="J43">
            <v>0.17730000000000001</v>
          </cell>
          <cell r="K43">
            <v>656</v>
          </cell>
          <cell r="L43">
            <v>0.15620000000000001</v>
          </cell>
          <cell r="M43">
            <v>588.5</v>
          </cell>
          <cell r="N43">
            <v>1.1993932052298437</v>
          </cell>
          <cell r="O43">
            <v>22784.410687128599</v>
          </cell>
          <cell r="P43">
            <v>17665.761817736278</v>
          </cell>
          <cell r="Q43">
            <v>5.1685160556353568E-2</v>
          </cell>
          <cell r="R43">
            <v>3533.1523635472558</v>
          </cell>
          <cell r="S43">
            <v>2620.0946276472559</v>
          </cell>
          <cell r="T43">
            <v>112.39738786727099</v>
          </cell>
          <cell r="U43" t="str">
            <v>Rokan</v>
          </cell>
          <cell r="V43">
            <v>2463.1205</v>
          </cell>
          <cell r="W43">
            <v>2397.3161141895598</v>
          </cell>
          <cell r="X43">
            <v>24</v>
          </cell>
          <cell r="Y43">
            <v>24</v>
          </cell>
          <cell r="Z43">
            <v>0.43319017631765699</v>
          </cell>
          <cell r="AA43">
            <v>0.23828378503049499</v>
          </cell>
          <cell r="AB43">
            <v>3</v>
          </cell>
          <cell r="AC43">
            <v>3</v>
          </cell>
          <cell r="AD43">
            <v>5</v>
          </cell>
          <cell r="AE43">
            <v>5</v>
          </cell>
          <cell r="AF43">
            <v>5</v>
          </cell>
          <cell r="AG43">
            <v>2</v>
          </cell>
          <cell r="AH43">
            <v>3.55</v>
          </cell>
          <cell r="AI43">
            <v>0.7</v>
          </cell>
          <cell r="AJ43" t="str">
            <v>Tier 1 - validate for reactivation</v>
          </cell>
          <cell r="AK43" t="str">
            <v>SHUT IN</v>
          </cell>
          <cell r="AL43" t="str">
            <v>OPEN HOLE</v>
          </cell>
          <cell r="AM43" t="str">
            <v>ESP</v>
          </cell>
          <cell r="AN43" t="str">
            <v>good</v>
          </cell>
          <cell r="AO43" t="str">
            <v>RECONDITON AND REPLACE M.VALVE HANGER TYPE</v>
          </cell>
          <cell r="AP43" t="str">
            <v>Flow line</v>
          </cell>
          <cell r="AQ43" t="str">
            <v>Well source folder found; digital-group classification absent</v>
          </cell>
          <cell r="AR43" t="str">
            <v>No standard-group gap identified in database</v>
          </cell>
          <cell r="AS43" t="str">
            <v>D:\HALLIBURTON CONSULTING\Data Nations\Zona Rokan\PEMATANG_BOW\PEBO00018\6_Prod\ProdHist_PEBO00018.xlsx</v>
          </cell>
          <cell r="AT43" t="str">
            <v>field+well-number; Value completion uses Formation evaluation completed; Candidate mapped to source well</v>
          </cell>
          <cell r="AU43" t="str">
            <v>UNCONFIRMED - NO PERFORATION HISTORY</v>
          </cell>
          <cell r="AV43">
            <v>0</v>
          </cell>
          <cell r="AW43">
            <v>0</v>
          </cell>
          <cell r="AX43">
            <v>0</v>
          </cell>
          <cell r="AY43">
            <v>5688.5</v>
          </cell>
          <cell r="AZ43">
            <v>5700</v>
          </cell>
          <cell r="BA43">
            <v>5688.5</v>
          </cell>
          <cell r="BB43">
            <v>5700</v>
          </cell>
          <cell r="BC43">
            <v>12</v>
          </cell>
          <cell r="BD43">
            <v>95.2</v>
          </cell>
          <cell r="BE43">
            <v>0</v>
          </cell>
          <cell r="BF43" t="str">
            <v>Formation evaluation completed</v>
          </cell>
          <cell r="BG43" t="str">
            <v>D:\HALLIBURTON CONSULTING\Data Nations\Zona Rokan\PEMATANG_BOW\PEBO00018\5_Well_Log_Raw\PEBO00018_pebo00018.las_.las</v>
          </cell>
          <cell r="BH43" t="str">
            <v>MD used as TVD; no numeric deviation survey found</v>
          </cell>
          <cell r="BI43">
            <v>0</v>
          </cell>
          <cell r="BJ43" t="str">
            <v>No numeric horizontal proof</v>
          </cell>
          <cell r="BK43" t="str">
            <v>No coordinate evidence in source/LAS</v>
          </cell>
          <cell r="BL43" t="str">
            <v>No coordinate evidence in source/LAS</v>
          </cell>
          <cell r="BM43" t="str">
            <v>No coordinate evidence in source/LAS</v>
          </cell>
          <cell r="BN43" t="str">
            <v>No coordinate evidence in source/LAS</v>
          </cell>
          <cell r="BO43" t="str">
            <v>No coordinate evidence after source and LAS-header search</v>
          </cell>
        </row>
        <row r="44">
          <cell r="A44" t="str">
            <v>PEBO-00023</v>
          </cell>
          <cell r="B44" t="str">
            <v>PEBO00023</v>
          </cell>
          <cell r="C44" t="str">
            <v>PEMATANG_BOW</v>
          </cell>
          <cell r="D44" t="str">
            <v>Bekasap</v>
          </cell>
          <cell r="E44">
            <v>174.362818181818</v>
          </cell>
          <cell r="F44">
            <v>348.99266666666699</v>
          </cell>
          <cell r="G44">
            <v>0.64926872740180996</v>
          </cell>
          <cell r="H44">
            <v>405.44298889999999</v>
          </cell>
          <cell r="I44">
            <v>98.021706499006399</v>
          </cell>
          <cell r="J44">
            <v>0.18029999999999999</v>
          </cell>
          <cell r="K44">
            <v>656</v>
          </cell>
          <cell r="L44">
            <v>0.16020000000000001</v>
          </cell>
          <cell r="M44">
            <v>804.5</v>
          </cell>
          <cell r="N44">
            <v>1.1993932052298437</v>
          </cell>
          <cell r="O44">
            <v>31523.956662077599</v>
          </cell>
          <cell r="P44">
            <v>24441.918537726604</v>
          </cell>
          <cell r="Q44">
            <v>1.6588018173540282E-2</v>
          </cell>
          <cell r="R44">
            <v>4888.3837075453212</v>
          </cell>
          <cell r="S44">
            <v>4482.9407186453209</v>
          </cell>
          <cell r="T44">
            <v>98.021706499006399</v>
          </cell>
          <cell r="U44" t="str">
            <v>Rokan</v>
          </cell>
          <cell r="V44">
            <v>430.83499999999998</v>
          </cell>
          <cell r="W44">
            <v>427.14089878051101</v>
          </cell>
          <cell r="X44">
            <v>29.28</v>
          </cell>
          <cell r="Y44">
            <v>28.32</v>
          </cell>
          <cell r="Z44">
            <v>2.3143939205540498</v>
          </cell>
          <cell r="AA44">
            <v>1.1663118234329299</v>
          </cell>
          <cell r="AB44">
            <v>3</v>
          </cell>
          <cell r="AC44">
            <v>3</v>
          </cell>
          <cell r="AD44">
            <v>5</v>
          </cell>
          <cell r="AE44">
            <v>5</v>
          </cell>
          <cell r="AF44">
            <v>5</v>
          </cell>
          <cell r="AG44">
            <v>4</v>
          </cell>
          <cell r="AH44">
            <v>3.85</v>
          </cell>
          <cell r="AI44">
            <v>0.8</v>
          </cell>
          <cell r="AJ44" t="str">
            <v>Tier 1 - validate for reactivation</v>
          </cell>
          <cell r="AK44" t="str">
            <v>PRODUCING</v>
          </cell>
          <cell r="AL44" t="str">
            <v>Open Hole</v>
          </cell>
          <cell r="AM44" t="str">
            <v>ESP</v>
          </cell>
          <cell r="AN44" t="str">
            <v>GOOD</v>
          </cell>
          <cell r="AO44" t="str">
            <v>RECONDITION STRING SIZE 3.5</v>
          </cell>
          <cell r="AP44" t="str">
            <v>Wellhead</v>
          </cell>
          <cell r="AQ44" t="str">
            <v>Well source folder found; digital-group classification absent</v>
          </cell>
          <cell r="AR44" t="str">
            <v>No standard-group gap identified in database</v>
          </cell>
          <cell r="AS44" t="str">
            <v>D:\HALLIBURTON CONSULTING\Data Nations\Zona Rokan\PEMATANG_BOW\PEBO00023\6_Prod\ProdHist_PEBO00023.xlsx</v>
          </cell>
          <cell r="AT44" t="str">
            <v>field+well-number; Value completion uses Formation evaluation completed; Candidate mapped to source well</v>
          </cell>
          <cell r="AU44" t="str">
            <v>NZBP SCREENING CANDIDATE</v>
          </cell>
          <cell r="AV44">
            <v>23</v>
          </cell>
          <cell r="AW44">
            <v>698.77455110964809</v>
          </cell>
          <cell r="AX44">
            <v>139.75491022192963</v>
          </cell>
          <cell r="AY44">
            <v>995</v>
          </cell>
          <cell r="AZ44">
            <v>1015</v>
          </cell>
          <cell r="BA44">
            <v>995</v>
          </cell>
          <cell r="BB44">
            <v>1015</v>
          </cell>
          <cell r="BC44">
            <v>20.5</v>
          </cell>
          <cell r="BD44">
            <v>84.2</v>
          </cell>
          <cell r="BE44">
            <v>2</v>
          </cell>
          <cell r="BF44" t="str">
            <v>Formation evaluation completed</v>
          </cell>
          <cell r="BG44" t="str">
            <v>D:\HALLIBURTON CONSULTING\Data Nations\Zona Rokan\PEMATANG_BOW\PEBO00023\5_Well_Log_Raw\PEBO00023_pebo00023.las_.las</v>
          </cell>
          <cell r="BH44" t="str">
            <v>MD used as TVD; no numeric deviation survey found</v>
          </cell>
          <cell r="BI44">
            <v>0</v>
          </cell>
          <cell r="BJ44" t="str">
            <v>No numeric horizontal proof</v>
          </cell>
          <cell r="BK44" t="str">
            <v>No coordinate evidence in source/LAS</v>
          </cell>
          <cell r="BL44" t="str">
            <v>No coordinate evidence in source/LAS</v>
          </cell>
          <cell r="BM44" t="str">
            <v>No coordinate evidence in source/LAS</v>
          </cell>
          <cell r="BN44" t="str">
            <v>No coordinate evidence in source/LAS</v>
          </cell>
          <cell r="BO44" t="str">
            <v>No coordinate evidence after source and LAS-header search</v>
          </cell>
        </row>
        <row r="45">
          <cell r="A45" t="str">
            <v>Pena-00005</v>
          </cell>
          <cell r="B45" t="str">
            <v>PENA00005D1</v>
          </cell>
          <cell r="C45" t="str">
            <v>PENASA</v>
          </cell>
          <cell r="D45" t="str">
            <v>Bekasap</v>
          </cell>
          <cell r="E45">
            <v>16.2011</v>
          </cell>
          <cell r="F45">
            <v>16.2011</v>
          </cell>
          <cell r="G45">
            <v>0.64926872740180996</v>
          </cell>
          <cell r="H45">
            <v>2.1113615999999999</v>
          </cell>
          <cell r="I45">
            <v>9.1077873466411408</v>
          </cell>
          <cell r="J45">
            <v>0.31943850267379698</v>
          </cell>
          <cell r="K45">
            <v>656</v>
          </cell>
          <cell r="L45">
            <v>0.37109919708745998</v>
          </cell>
          <cell r="M45">
            <v>226</v>
          </cell>
          <cell r="N45">
            <v>1.1993932052298437</v>
          </cell>
          <cell r="O45">
            <v>11749.5416785692</v>
          </cell>
          <cell r="P45">
            <v>9109.9395815590269</v>
          </cell>
          <cell r="Q45">
            <v>2.3176461063188222E-4</v>
          </cell>
          <cell r="R45">
            <v>1821.9879163118055</v>
          </cell>
          <cell r="S45">
            <v>1819.8765547118055</v>
          </cell>
          <cell r="T45">
            <v>9.1077873466411408</v>
          </cell>
          <cell r="U45" t="str">
            <v>Rokan</v>
          </cell>
          <cell r="V45">
            <v>1483.2415000000001</v>
          </cell>
          <cell r="W45">
            <v>1483.0638102805599</v>
          </cell>
          <cell r="X45">
            <v>10</v>
          </cell>
          <cell r="Y45">
            <v>10</v>
          </cell>
          <cell r="Z45">
            <v>3.1211642292114501E-2</v>
          </cell>
          <cell r="AA45">
            <v>3.1211642292114501E-2</v>
          </cell>
          <cell r="AB45">
            <v>2</v>
          </cell>
          <cell r="AC45">
            <v>1</v>
          </cell>
          <cell r="AD45">
            <v>5</v>
          </cell>
          <cell r="AE45">
            <v>5</v>
          </cell>
          <cell r="AF45">
            <v>5</v>
          </cell>
          <cell r="AG45">
            <v>1</v>
          </cell>
          <cell r="AH45">
            <v>2.65</v>
          </cell>
          <cell r="AI45">
            <v>0.8</v>
          </cell>
          <cell r="AJ45" t="str">
            <v>Tier 2 - subsurface / integrity review</v>
          </cell>
          <cell r="AK45" t="str">
            <v>SUSPENDED</v>
          </cell>
          <cell r="AL45" t="str">
            <v>COMPLETION REPORT</v>
          </cell>
          <cell r="AM45" t="str">
            <v>ESP</v>
          </cell>
          <cell r="AN45" t="str">
            <v>Good</v>
          </cell>
          <cell r="AO45" t="str">
            <v>Shutdown reason unresolved</v>
          </cell>
          <cell r="AP45" t="str">
            <v>WELLHEAD</v>
          </cell>
          <cell r="AQ45" t="str">
            <v>Well source folder found; digital-group classification absent</v>
          </cell>
          <cell r="AR45" t="str">
            <v>No standard-group gap identified in database</v>
          </cell>
          <cell r="AS45" t="str">
            <v>D:\HALLIBURTON CONSULTING\Data Nations\Zona Rokan\PENASA\PENA00005D1\6_Prod\ProdHist_PENA00005.xlsx</v>
          </cell>
          <cell r="AT45" t="str">
            <v>field+well-number; Value completion uses Formation evaluation completed; Candidate mapped to source well</v>
          </cell>
          <cell r="AU45" t="str">
            <v>NZBP SCREENING CANDIDATE</v>
          </cell>
          <cell r="AV45">
            <v>11</v>
          </cell>
          <cell r="AW45">
            <v>443.40413892543933</v>
          </cell>
          <cell r="AX45">
            <v>88.680827785087871</v>
          </cell>
          <cell r="AY45">
            <v>3425.5</v>
          </cell>
          <cell r="AZ45">
            <v>3450</v>
          </cell>
          <cell r="BA45">
            <v>3425.5</v>
          </cell>
          <cell r="BB45">
            <v>3450</v>
          </cell>
          <cell r="BC45">
            <v>25</v>
          </cell>
          <cell r="BD45">
            <v>87.4</v>
          </cell>
          <cell r="BE45">
            <v>1</v>
          </cell>
          <cell r="BF45" t="str">
            <v>Formation evaluation completed</v>
          </cell>
          <cell r="BG45" t="str">
            <v>D:\HALLIBURTON CONSULTING\Data Nations\Zona Rokan\PENASA\PENA00005D1\5_Well_Log_Raw\164109062_PENA00005D1_T_080409_0.las</v>
          </cell>
          <cell r="BH45" t="str">
            <v>MD used as TVD; no numeric deviation survey found</v>
          </cell>
          <cell r="BI45">
            <v>0</v>
          </cell>
          <cell r="BJ45" t="str">
            <v>No numeric horizontal proof</v>
          </cell>
          <cell r="BK45" t="str">
            <v>No coordinate evidence in source/LAS</v>
          </cell>
          <cell r="BL45" t="str">
            <v>No coordinate evidence in source/LAS</v>
          </cell>
          <cell r="BM45" t="str">
            <v>No coordinate evidence in source/LAS</v>
          </cell>
          <cell r="BN45" t="str">
            <v>No coordinate evidence in source/LAS</v>
          </cell>
          <cell r="BO45" t="str">
            <v>No coordinate evidence after source and LAS-header search</v>
          </cell>
        </row>
        <row r="46">
          <cell r="A46" t="str">
            <v>Petani-00049</v>
          </cell>
          <cell r="B46" t="str">
            <v>PETA00049</v>
          </cell>
          <cell r="C46" t="str">
            <v>PETANI</v>
          </cell>
          <cell r="D46" t="str">
            <v>Bekasap</v>
          </cell>
          <cell r="E46">
            <v>937.07344285714305</v>
          </cell>
          <cell r="F46">
            <v>937.07344285714305</v>
          </cell>
          <cell r="G46">
            <v>0.64926872740180996</v>
          </cell>
          <cell r="H46">
            <v>731.59211889999995</v>
          </cell>
          <cell r="I46">
            <v>526.79544263832304</v>
          </cell>
          <cell r="J46">
            <v>0.18435000000000001</v>
          </cell>
          <cell r="K46">
            <v>656</v>
          </cell>
          <cell r="L46">
            <v>0.15665000000000001</v>
          </cell>
          <cell r="M46">
            <v>169.99999999984499</v>
          </cell>
          <cell r="N46">
            <v>1.1993932052298437</v>
          </cell>
          <cell r="O46">
            <v>6839.7934805223904</v>
          </cell>
          <cell r="P46">
            <v>5303.19454686065</v>
          </cell>
          <cell r="Q46">
            <v>0.13795309835146119</v>
          </cell>
          <cell r="R46">
            <v>1060.63890937213</v>
          </cell>
          <cell r="S46">
            <v>329.04679047213006</v>
          </cell>
          <cell r="T46">
            <v>526.79544263832304</v>
          </cell>
          <cell r="U46" t="str">
            <v>Rokan</v>
          </cell>
          <cell r="V46">
            <v>2179.7220000000002</v>
          </cell>
          <cell r="W46">
            <v>2024.2916310242799</v>
          </cell>
          <cell r="X46">
            <v>100</v>
          </cell>
          <cell r="Y46">
            <v>1.5</v>
          </cell>
          <cell r="Z46">
            <v>1.3226121438455101</v>
          </cell>
          <cell r="AA46">
            <v>1.3226121438455101</v>
          </cell>
          <cell r="AB46">
            <v>5</v>
          </cell>
          <cell r="AC46">
            <v>5</v>
          </cell>
          <cell r="AD46">
            <v>4</v>
          </cell>
          <cell r="AE46">
            <v>5</v>
          </cell>
          <cell r="AF46">
            <v>5</v>
          </cell>
          <cell r="AG46">
            <v>4</v>
          </cell>
          <cell r="AH46">
            <v>4.8499999999999996</v>
          </cell>
          <cell r="AI46">
            <v>0.8</v>
          </cell>
          <cell r="AJ46" t="str">
            <v>Tier 1 - validate for reactivation</v>
          </cell>
          <cell r="AK46" t="str">
            <v>POP</v>
          </cell>
          <cell r="AL46" t="str">
            <v>Open Hole</v>
          </cell>
          <cell r="AM46" t="str">
            <v>ESP</v>
          </cell>
          <cell r="AN46" t="str">
            <v>GOOD</v>
          </cell>
          <cell r="AO46" t="str">
            <v>RECONDITION STRING SIZE 3 3.5</v>
          </cell>
          <cell r="AP46" t="str">
            <v>Wellhead</v>
          </cell>
          <cell r="AQ46" t="str">
            <v>Well source folder found; digital-group classification absent</v>
          </cell>
          <cell r="AR46" t="str">
            <v>No standard-group gap identified in database</v>
          </cell>
          <cell r="AS46" t="str">
            <v>D:\HALLIBURTON CONSULTING\Data Nations\Zona Rokan\PETANI\PETA00049\6_Prod\ProdHist_PETA00049.xlsx</v>
          </cell>
          <cell r="AT46" t="str">
            <v>field+well-number; Value completion uses Formation evaluation completed; Candidate mapped to source well</v>
          </cell>
          <cell r="AU46" t="str">
            <v>No qualifying &gt;=5 ft NZBP interval in interpreted LAS</v>
          </cell>
          <cell r="AV46">
            <v>0</v>
          </cell>
          <cell r="AW46">
            <v>0</v>
          </cell>
          <cell r="AX46">
            <v>0</v>
          </cell>
          <cell r="AY46" t="str">
            <v>No qualifying &gt;=5 ft interval</v>
          </cell>
          <cell r="AZ46" t="str">
            <v>No qualifying &gt;=5 ft interval</v>
          </cell>
          <cell r="BA46" t="str">
            <v>No qualifying &gt;=5 ft interval</v>
          </cell>
          <cell r="BB46" t="str">
            <v>No qualifying &gt;=5 ft interval</v>
          </cell>
          <cell r="BC46" t="str">
            <v>No qualifying &gt;=5 ft interval</v>
          </cell>
          <cell r="BD46" t="str">
            <v>No qualifying &gt;=5 ft interval</v>
          </cell>
          <cell r="BE46">
            <v>2</v>
          </cell>
          <cell r="BF46" t="str">
            <v>Formation evaluation completed</v>
          </cell>
          <cell r="BG46" t="str">
            <v>D:\HALLIBURTON CONSULTING\Data Nations\Zona Rokan\PETANI\PETA00049\5_Well_Log_Raw\PETA00049_PETA00049.las_UNLOAD_GEOLOG.las</v>
          </cell>
          <cell r="BH46" t="str">
            <v>MD used as TVD; no numeric deviation survey found</v>
          </cell>
          <cell r="BI46">
            <v>0</v>
          </cell>
          <cell r="BJ46" t="str">
            <v>No numeric horizontal proof</v>
          </cell>
          <cell r="BK46" t="str">
            <v>No coordinate evidence in source/LAS</v>
          </cell>
          <cell r="BL46" t="str">
            <v>No coordinate evidence in source/LAS</v>
          </cell>
          <cell r="BM46" t="str">
            <v>No coordinate evidence in source/LAS</v>
          </cell>
          <cell r="BN46" t="str">
            <v>No coordinate evidence in source/LAS</v>
          </cell>
          <cell r="BO46" t="str">
            <v>No coordinate evidence after source and LAS-header search</v>
          </cell>
        </row>
        <row r="47">
          <cell r="A47" t="str">
            <v>Fajar-00002</v>
          </cell>
          <cell r="B47" t="str">
            <v>FAJA00002D1</v>
          </cell>
          <cell r="C47" t="str">
            <v>FAJAR</v>
          </cell>
          <cell r="D47" t="str">
            <v>Bekasap</v>
          </cell>
          <cell r="E47">
            <v>106.93636363636401</v>
          </cell>
          <cell r="F47">
            <v>335.32380952380998</v>
          </cell>
          <cell r="G47">
            <v>0.64926872740180996</v>
          </cell>
          <cell r="H47">
            <v>30.478439999999999</v>
          </cell>
          <cell r="I47">
            <v>60.116514287492102</v>
          </cell>
          <cell r="J47">
            <v>0.25942364308122401</v>
          </cell>
          <cell r="K47">
            <v>656</v>
          </cell>
          <cell r="L47">
            <v>0.62016926110663895</v>
          </cell>
          <cell r="M47">
            <v>223.5</v>
          </cell>
          <cell r="N47">
            <v>1.1993932052298437</v>
          </cell>
          <cell r="O47">
            <v>5699.2835696703696</v>
          </cell>
          <cell r="P47">
            <v>4418.9067453217986</v>
          </cell>
          <cell r="Q47">
            <v>6.8972806525656755E-3</v>
          </cell>
          <cell r="R47">
            <v>883.7813490643598</v>
          </cell>
          <cell r="S47">
            <v>853.30290906435982</v>
          </cell>
          <cell r="T47">
            <v>60.116514287492102</v>
          </cell>
          <cell r="U47" t="str">
            <v>Rokan</v>
          </cell>
          <cell r="V47">
            <v>2892.0070000000001</v>
          </cell>
          <cell r="W47">
            <v>2881.69648046989</v>
          </cell>
          <cell r="X47">
            <v>16.8</v>
          </cell>
          <cell r="Y47">
            <v>16.8</v>
          </cell>
          <cell r="Z47">
            <v>0.33128136522867502</v>
          </cell>
          <cell r="AA47">
            <v>0.10602520758280801</v>
          </cell>
          <cell r="AB47">
            <v>3</v>
          </cell>
          <cell r="AC47">
            <v>3</v>
          </cell>
          <cell r="AD47">
            <v>5</v>
          </cell>
          <cell r="AE47">
            <v>5</v>
          </cell>
          <cell r="AF47">
            <v>5</v>
          </cell>
          <cell r="AG47">
            <v>1</v>
          </cell>
          <cell r="AH47">
            <v>3.4</v>
          </cell>
          <cell r="AI47">
            <v>0.8</v>
          </cell>
          <cell r="AJ47" t="str">
            <v>Tier 1 - validate for reactivation</v>
          </cell>
          <cell r="AK47" t="str">
            <v>SUSPENDED</v>
          </cell>
          <cell r="AL47" t="str">
            <v>OPEN HOLE</v>
          </cell>
          <cell r="AM47" t="str">
            <v>PCP</v>
          </cell>
          <cell r="AN47" t="str">
            <v>Leak</v>
          </cell>
          <cell r="AO47" t="str">
            <v>; REASON CODE</v>
          </cell>
          <cell r="AP47" t="str">
            <v>Wellhead</v>
          </cell>
          <cell r="AQ47" t="str">
            <v>Well source folder found; digital-group classification absent</v>
          </cell>
          <cell r="AR47" t="str">
            <v>No standard-group gap identified in database</v>
          </cell>
          <cell r="AS47" t="str">
            <v>D:\HALLIBURTON CONSULTING\Data Nations\Zona Rokan\FAJAR\FAJA00002D1\6_Prod\ProdHist_FAJA00002.xlsx</v>
          </cell>
          <cell r="AT47" t="str">
            <v>field+well-number; Value completion uses Formation evaluation completed; Candidate mapped to source well</v>
          </cell>
          <cell r="AU47" t="str">
            <v>NZBP SCREENING CANDIDATE</v>
          </cell>
          <cell r="AV47">
            <v>10</v>
          </cell>
          <cell r="AW47">
            <v>197.7139483365458</v>
          </cell>
          <cell r="AX47">
            <v>39.542789667309165</v>
          </cell>
          <cell r="AY47">
            <v>6679</v>
          </cell>
          <cell r="AZ47">
            <v>6723</v>
          </cell>
          <cell r="BA47">
            <v>6679</v>
          </cell>
          <cell r="BB47">
            <v>6723</v>
          </cell>
          <cell r="BC47">
            <v>44.5</v>
          </cell>
          <cell r="BD47">
            <v>86.6</v>
          </cell>
          <cell r="BE47">
            <v>6</v>
          </cell>
          <cell r="BF47" t="str">
            <v>Formation evaluation completed</v>
          </cell>
          <cell r="BG47" t="str">
            <v>D:\HALLIBURTON CONSULTING\Data Nations\Zona Rokan\FAJAR\FAJA00002D1\5_Well_Log_Raw\148949471_FAJA00002D1_T_022604_0.las</v>
          </cell>
          <cell r="BH47" t="str">
            <v>MD used as TVD; no numeric deviation survey found</v>
          </cell>
          <cell r="BI47">
            <v>0</v>
          </cell>
          <cell r="BJ47" t="str">
            <v>No numeric horizontal proof</v>
          </cell>
          <cell r="BK47" t="str">
            <v>No coordinate evidence in source/LAS</v>
          </cell>
          <cell r="BL47" t="str">
            <v>No coordinate evidence in source/LAS</v>
          </cell>
          <cell r="BM47" t="str">
            <v>No coordinate evidence in source/LAS</v>
          </cell>
          <cell r="BN47" t="str">
            <v>No coordinate evidence in source/LAS</v>
          </cell>
          <cell r="BO47" t="str">
            <v>No coordinate evidence after source and LAS-header search</v>
          </cell>
        </row>
        <row r="48">
          <cell r="A48" t="str">
            <v>Libo SE-00046</v>
          </cell>
          <cell r="B48" t="str">
            <v>LISE00046D1</v>
          </cell>
          <cell r="C48" t="str">
            <v>LIBO_SE</v>
          </cell>
          <cell r="D48" t="str">
            <v>Libo</v>
          </cell>
          <cell r="E48">
            <v>0</v>
          </cell>
          <cell r="F48">
            <v>2225</v>
          </cell>
          <cell r="G48">
            <v>0.64926872740180996</v>
          </cell>
          <cell r="H48">
            <v>411.89210320000001</v>
          </cell>
          <cell r="I48">
            <v>0</v>
          </cell>
          <cell r="J48">
            <v>0.30965055067399799</v>
          </cell>
          <cell r="K48">
            <v>656</v>
          </cell>
          <cell r="L48">
            <v>0.51734531235706505</v>
          </cell>
          <cell r="M48">
            <v>1759.5</v>
          </cell>
          <cell r="N48">
            <v>1.1993932052298437</v>
          </cell>
          <cell r="O48">
            <v>68051.974826827005</v>
          </cell>
          <cell r="P48">
            <v>52763.707388598625</v>
          </cell>
          <cell r="Q48">
            <v>7.8063525780412311E-3</v>
          </cell>
          <cell r="R48">
            <v>10552.741477719726</v>
          </cell>
          <cell r="S48">
            <v>10140.849374519727</v>
          </cell>
          <cell r="T48">
            <v>0.01</v>
          </cell>
          <cell r="U48" t="str">
            <v>Rokan</v>
          </cell>
          <cell r="V48">
            <v>654.47950000000003</v>
          </cell>
          <cell r="W48">
            <v>651.838626966878</v>
          </cell>
          <cell r="X48">
            <v>12</v>
          </cell>
          <cell r="Y48">
            <v>2</v>
          </cell>
          <cell r="Z48">
            <v>9.7132803352020307</v>
          </cell>
          <cell r="AA48">
            <v>0.5</v>
          </cell>
          <cell r="AB48">
            <v>1</v>
          </cell>
          <cell r="AC48">
            <v>1</v>
          </cell>
          <cell r="AD48">
            <v>5</v>
          </cell>
          <cell r="AE48">
            <v>5</v>
          </cell>
          <cell r="AF48">
            <v>5</v>
          </cell>
          <cell r="AG48">
            <v>3</v>
          </cell>
          <cell r="AH48">
            <v>2.7</v>
          </cell>
          <cell r="AI48">
            <v>0.65</v>
          </cell>
          <cell r="AJ48" t="str">
            <v>Tier 2 - subsurface / integrity review</v>
          </cell>
          <cell r="AK48" t="str">
            <v>POP</v>
          </cell>
          <cell r="AL48" t="str">
            <v>COMPLETION TYPE SINGLE/OUAUTRIPLE WELL STATUS</v>
          </cell>
          <cell r="AM48" t="str">
            <v>SRP</v>
          </cell>
          <cell r="AN48" t="str">
            <v>good</v>
          </cell>
          <cell r="AO48" t="str">
            <v>Lnitial Completion</v>
          </cell>
          <cell r="AP48" t="str">
            <v>wellHead</v>
          </cell>
          <cell r="AQ48" t="str">
            <v>Well source folder found; digital-group classification absent</v>
          </cell>
          <cell r="AR48" t="str">
            <v>No standard-group gap identified in database</v>
          </cell>
          <cell r="AS48" t="str">
            <v>No usable 6_Prod workbook after recursive search</v>
          </cell>
          <cell r="AT48" t="str">
            <v>field+well-number; Value completion uses Formation evaluation completed; Candidate mapped to source well</v>
          </cell>
          <cell r="AU48" t="str">
            <v>NZBP SCREENING CANDIDATE</v>
          </cell>
          <cell r="AV48">
            <v>53</v>
          </cell>
          <cell r="AW48">
            <v>1589.3586198327521</v>
          </cell>
          <cell r="AX48">
            <v>317.87172396655046</v>
          </cell>
          <cell r="AY48">
            <v>1511.5</v>
          </cell>
          <cell r="AZ48">
            <v>1668.5</v>
          </cell>
          <cell r="BA48">
            <v>1511.5</v>
          </cell>
          <cell r="BB48">
            <v>1668.5</v>
          </cell>
          <cell r="BC48">
            <v>157.5</v>
          </cell>
          <cell r="BD48">
            <v>90.1</v>
          </cell>
          <cell r="BE48">
            <v>10</v>
          </cell>
          <cell r="BF48" t="str">
            <v>Formation evaluation completed</v>
          </cell>
          <cell r="BG48" t="str">
            <v>D:\HALLIBURTON CONSULTING\Data Nations\Zona Rokan\LIBO_SE\LISE00046D1\LISE00046D1\5_Well_Log_Raw\175963218_LISE00046D1_T_121424_0.las</v>
          </cell>
          <cell r="BH48" t="str">
            <v>MD used as TVD; no numeric deviation survey found</v>
          </cell>
          <cell r="BI48">
            <v>0</v>
          </cell>
          <cell r="BJ48" t="str">
            <v>No numeric horizontal proof</v>
          </cell>
          <cell r="BK48" t="str">
            <v>No coordinate evidence in source/LAS</v>
          </cell>
          <cell r="BL48" t="str">
            <v>No coordinate evidence in source/LAS</v>
          </cell>
          <cell r="BM48" t="str">
            <v>No coordinate evidence in source/LAS</v>
          </cell>
          <cell r="BN48" t="str">
            <v>No coordinate evidence in source/LAS</v>
          </cell>
          <cell r="BO48" t="str">
            <v>No coordinate evidence after source and LAS-header search</v>
          </cell>
        </row>
        <row r="49">
          <cell r="A49" t="str">
            <v>Libo-00012</v>
          </cell>
          <cell r="B49" t="str">
            <v>LIBO00012</v>
          </cell>
          <cell r="C49" t="str">
            <v>LIBO</v>
          </cell>
          <cell r="D49" t="str">
            <v>Libo</v>
          </cell>
          <cell r="E49">
            <v>39.593960000000003</v>
          </cell>
          <cell r="F49">
            <v>78.483870967741893</v>
          </cell>
          <cell r="G49">
            <v>0.40404711449405001</v>
          </cell>
          <cell r="H49">
            <v>119.3432392</v>
          </cell>
          <cell r="I49">
            <v>35.767599573372998</v>
          </cell>
          <cell r="J49">
            <v>0.12616134588333799</v>
          </cell>
          <cell r="K49">
            <v>656</v>
          </cell>
          <cell r="L49">
            <v>0.230960269356729</v>
          </cell>
          <cell r="M49">
            <v>52</v>
          </cell>
          <cell r="N49">
            <v>1.1993932052298437</v>
          </cell>
          <cell r="O49">
            <v>1305.6341789201499</v>
          </cell>
          <cell r="P49">
            <v>1012.3159533342224</v>
          </cell>
          <cell r="Q49">
            <v>0.11789129550603662</v>
          </cell>
          <cell r="R49">
            <v>202.4631906668445</v>
          </cell>
          <cell r="S49">
            <v>83.119951466844498</v>
          </cell>
          <cell r="T49">
            <v>35.767599573372998</v>
          </cell>
          <cell r="U49" t="str">
            <v>Rokan</v>
          </cell>
          <cell r="V49">
            <v>2472.8629999999998</v>
          </cell>
          <cell r="W49">
            <v>2322.17276568954</v>
          </cell>
          <cell r="X49">
            <v>10</v>
          </cell>
          <cell r="Y49">
            <v>10</v>
          </cell>
          <cell r="Z49">
            <v>9.0680167618022306E-2</v>
          </cell>
          <cell r="AA49">
            <v>4.8715410701325998E-2</v>
          </cell>
          <cell r="AB49">
            <v>2</v>
          </cell>
          <cell r="AC49">
            <v>2</v>
          </cell>
          <cell r="AD49">
            <v>2</v>
          </cell>
          <cell r="AE49">
            <v>5</v>
          </cell>
          <cell r="AF49">
            <v>5</v>
          </cell>
          <cell r="AG49">
            <v>1</v>
          </cell>
          <cell r="AH49">
            <v>2.9</v>
          </cell>
          <cell r="AI49">
            <v>0.8</v>
          </cell>
          <cell r="AJ49" t="str">
            <v>Tier 2 - subsurface / integrity review</v>
          </cell>
          <cell r="AK49" t="str">
            <v>SHUT IN</v>
          </cell>
          <cell r="AL49" t="str">
            <v>CASED HOLE</v>
          </cell>
          <cell r="AM49" t="str">
            <v>ESP</v>
          </cell>
          <cell r="AN49" t="str">
            <v>good</v>
          </cell>
          <cell r="AO49" t="str">
            <v>shut in well head pressure and temperature</v>
          </cell>
          <cell r="AP49" t="str">
            <v>wellhead</v>
          </cell>
          <cell r="AQ49" t="str">
            <v>Well source folder found; digital-group classification absent</v>
          </cell>
          <cell r="AR49" t="str">
            <v>No standard-group gap identified in database</v>
          </cell>
          <cell r="AS49" t="str">
            <v>D:\HALLIBURTON CONSULTING\Data Nations\Zona Rokan\LIBO\LIBO00012\6_Prod\ProdHist_LIBO00012.xlsx</v>
          </cell>
          <cell r="AT49" t="str">
            <v>field+well-number; Value completion uses Formation evaluation completed; Candidate mapped to source well</v>
          </cell>
          <cell r="AU49" t="str">
            <v>NZBP SCREENING CANDIDATE</v>
          </cell>
          <cell r="AV49">
            <v>2</v>
          </cell>
          <cell r="AW49">
            <v>38.935228974393176</v>
          </cell>
          <cell r="AX49">
            <v>7.7870457948786358</v>
          </cell>
          <cell r="AY49">
            <v>5711</v>
          </cell>
          <cell r="AZ49">
            <v>5723.5</v>
          </cell>
          <cell r="BA49">
            <v>5711</v>
          </cell>
          <cell r="BB49">
            <v>5723.5</v>
          </cell>
          <cell r="BC49">
            <v>13</v>
          </cell>
          <cell r="BD49">
            <v>66.7</v>
          </cell>
          <cell r="BE49">
            <v>3</v>
          </cell>
          <cell r="BF49" t="str">
            <v>Formation evaluation completed</v>
          </cell>
          <cell r="BG49" t="str">
            <v>D:\HALLIBURTON CONSULTING\Data Nations\Zona Rokan\LIBO\LIBO00012\5_Well_Log_Raw\175374558_LIBO00012_T_061822_0.las</v>
          </cell>
          <cell r="BH49" t="str">
            <v>MD used as TVD; no numeric deviation survey found</v>
          </cell>
          <cell r="BI49">
            <v>0</v>
          </cell>
          <cell r="BJ49" t="str">
            <v>No numeric horizontal proof</v>
          </cell>
          <cell r="BK49" t="str">
            <v>No coordinate evidence in source/LAS</v>
          </cell>
          <cell r="BL49" t="str">
            <v>No coordinate evidence in source/LAS</v>
          </cell>
          <cell r="BM49" t="str">
            <v>No coordinate evidence in source/LAS</v>
          </cell>
          <cell r="BN49" t="str">
            <v>No coordinate evidence in source/LAS</v>
          </cell>
          <cell r="BO49" t="str">
            <v>No coordinate evidence after source and LAS-header search</v>
          </cell>
        </row>
        <row r="50">
          <cell r="A50" t="str">
            <v>Libo-00016</v>
          </cell>
          <cell r="B50" t="str">
            <v>LIBO00016</v>
          </cell>
          <cell r="C50" t="str">
            <v>LIBO</v>
          </cell>
          <cell r="D50" t="str">
            <v>Libo</v>
          </cell>
          <cell r="E50">
            <v>39.593960000000003</v>
          </cell>
          <cell r="F50">
            <v>39.796093548387098</v>
          </cell>
          <cell r="G50">
            <v>0.40404711449405001</v>
          </cell>
          <cell r="H50">
            <v>2.6882391999999999</v>
          </cell>
          <cell r="I50">
            <v>35.767599573372998</v>
          </cell>
          <cell r="J50">
            <v>0.228183750489243</v>
          </cell>
          <cell r="K50">
            <v>656</v>
          </cell>
          <cell r="L50">
            <v>0.54678919944853999</v>
          </cell>
          <cell r="M50">
            <v>758.25</v>
          </cell>
          <cell r="N50">
            <v>1.1993932052298437</v>
          </cell>
          <cell r="O50">
            <v>20292.7292243757</v>
          </cell>
          <cell r="P50">
            <v>15733.850922558804</v>
          </cell>
          <cell r="Q50">
            <v>1.7085704022692052E-4</v>
          </cell>
          <cell r="R50">
            <v>3146.7701845117608</v>
          </cell>
          <cell r="S50">
            <v>3144.0819453117606</v>
          </cell>
          <cell r="T50">
            <v>35.767599573372998</v>
          </cell>
          <cell r="U50" t="str">
            <v>Rokan</v>
          </cell>
          <cell r="V50">
            <v>1243.143</v>
          </cell>
          <cell r="W50">
            <v>1243.0332113919101</v>
          </cell>
          <cell r="X50">
            <v>10</v>
          </cell>
          <cell r="Y50">
            <v>10</v>
          </cell>
          <cell r="Z50">
            <v>9.1464235750805103E-2</v>
          </cell>
          <cell r="AA50">
            <v>9.1007705154816695E-2</v>
          </cell>
          <cell r="AB50">
            <v>2</v>
          </cell>
          <cell r="AC50">
            <v>2</v>
          </cell>
          <cell r="AD50">
            <v>5</v>
          </cell>
          <cell r="AE50">
            <v>5</v>
          </cell>
          <cell r="AF50">
            <v>5</v>
          </cell>
          <cell r="AG50">
            <v>1</v>
          </cell>
          <cell r="AH50">
            <v>2.9</v>
          </cell>
          <cell r="AI50">
            <v>0.9</v>
          </cell>
          <cell r="AJ50" t="str">
            <v>Tier 2 - subsurface / integrity review</v>
          </cell>
          <cell r="AK50" t="str">
            <v>POP</v>
          </cell>
          <cell r="AL50" t="str">
            <v>COMPLETION REPORT</v>
          </cell>
          <cell r="AM50" t="str">
            <v>ESP</v>
          </cell>
          <cell r="AN50" t="str">
            <v>Leak</v>
          </cell>
          <cell r="AO50" t="str">
            <v>shut in well head pressure and temperature</v>
          </cell>
          <cell r="AP50" t="str">
            <v>CHOKE MANIFOLD</v>
          </cell>
          <cell r="AQ50" t="str">
            <v>Well source folder found; digital-group classification absent</v>
          </cell>
          <cell r="AR50" t="str">
            <v>No standard-group gap identified in database</v>
          </cell>
          <cell r="AS50" t="str">
            <v>D:\HALLIBURTON CONSULTING\Data Nations\Zona Rokan\LIBO\LIBO00016\6_Prod\ProdHist_LIBO00016.xlsx</v>
          </cell>
          <cell r="AT50" t="str">
            <v>field+well-number; Value completion uses Formation evaluation completed; Candidate mapped to source well</v>
          </cell>
          <cell r="AU50" t="str">
            <v>NZBP SCREENING CANDIDATE</v>
          </cell>
          <cell r="AV50">
            <v>36</v>
          </cell>
          <cell r="AW50">
            <v>747.00775893454261</v>
          </cell>
          <cell r="AX50">
            <v>149.40155178690853</v>
          </cell>
          <cell r="AY50">
            <v>2871</v>
          </cell>
          <cell r="AZ50">
            <v>2895.25</v>
          </cell>
          <cell r="BA50">
            <v>2871</v>
          </cell>
          <cell r="BB50">
            <v>2895.25</v>
          </cell>
          <cell r="BC50">
            <v>24.5</v>
          </cell>
          <cell r="BD50">
            <v>83.6</v>
          </cell>
          <cell r="BE50">
            <v>5</v>
          </cell>
          <cell r="BF50" t="str">
            <v>Formation evaluation completed</v>
          </cell>
          <cell r="BG50" t="str">
            <v>D:\HALLIBURTON CONSULTING\Data Nations\Zona Rokan\LIBO\LIBO00016\5_Well_Log_Raw\LIBO00016_dll_liboS1E138_18apr10_r1_hls.las_dll_liboS1E138_18apr10_r1_hldll_liboS1E138_18apr10_r1_hls.lass.las.las</v>
          </cell>
          <cell r="BH50" t="str">
            <v>MD used as TVD; no numeric deviation survey found</v>
          </cell>
          <cell r="BI50">
            <v>0</v>
          </cell>
          <cell r="BJ50" t="str">
            <v>No numeric horizontal proof</v>
          </cell>
          <cell r="BK50">
            <v>0.95384122222222201</v>
          </cell>
          <cell r="BL50">
            <v>101.016677694444</v>
          </cell>
          <cell r="BM50">
            <v>724421.47794997704</v>
          </cell>
          <cell r="BN50">
            <v>105493.980629463</v>
          </cell>
          <cell r="BO50" t="str">
            <v>WGS84 / LAS header</v>
          </cell>
        </row>
        <row r="51">
          <cell r="A51" t="str">
            <v>Oki-00003</v>
          </cell>
          <cell r="B51" t="str">
            <v>OKI_00003</v>
          </cell>
          <cell r="C51" t="str">
            <v>OKI</v>
          </cell>
          <cell r="D51" t="str">
            <v>Libo</v>
          </cell>
          <cell r="E51">
            <v>0</v>
          </cell>
          <cell r="F51">
            <v>600</v>
          </cell>
          <cell r="G51">
            <v>0.64926872740180996</v>
          </cell>
          <cell r="H51">
            <v>411.89210320000001</v>
          </cell>
          <cell r="I51">
            <v>0</v>
          </cell>
          <cell r="J51">
            <v>0.33227432441244897</v>
          </cell>
          <cell r="K51">
            <v>656</v>
          </cell>
          <cell r="L51">
            <v>0.62056828411005005</v>
          </cell>
          <cell r="M51">
            <v>1300</v>
          </cell>
          <cell r="N51">
            <v>1.1993932052298437</v>
          </cell>
          <cell r="O51">
            <v>42414.743219663404</v>
          </cell>
          <cell r="P51">
            <v>32886.027274003929</v>
          </cell>
          <cell r="Q51">
            <v>1.2524836149047305E-2</v>
          </cell>
          <cell r="R51">
            <v>6577.2054548007864</v>
          </cell>
          <cell r="S51">
            <v>6165.3133516007865</v>
          </cell>
          <cell r="T51">
            <v>0.01</v>
          </cell>
          <cell r="U51" t="str">
            <v>Rokan</v>
          </cell>
          <cell r="V51">
            <v>411.35</v>
          </cell>
          <cell r="W51">
            <v>408.68690373063902</v>
          </cell>
          <cell r="X51">
            <v>10</v>
          </cell>
          <cell r="Y51">
            <v>10</v>
          </cell>
          <cell r="Z51">
            <v>4.16746253624824</v>
          </cell>
          <cell r="AA51">
            <v>0.5</v>
          </cell>
          <cell r="AB51">
            <v>1</v>
          </cell>
          <cell r="AC51">
            <v>1</v>
          </cell>
          <cell r="AD51">
            <v>5</v>
          </cell>
          <cell r="AE51">
            <v>5</v>
          </cell>
          <cell r="AF51">
            <v>5</v>
          </cell>
          <cell r="AG51">
            <v>3</v>
          </cell>
          <cell r="AH51">
            <v>2.7</v>
          </cell>
          <cell r="AI51">
            <v>0.65</v>
          </cell>
          <cell r="AJ51" t="str">
            <v>Tier 2 - subsurface / integrity review</v>
          </cell>
          <cell r="AK51" t="str">
            <v>POP</v>
          </cell>
          <cell r="AL51" t="str">
            <v>Cased Hole</v>
          </cell>
          <cell r="AM51" t="str">
            <v>ESP</v>
          </cell>
          <cell r="AN51" t="str">
            <v>Pressure Test} RFT (Pressure Test} RFT (Pressure Test</v>
          </cell>
          <cell r="AO51" t="str">
            <v>Shut in well about 3 hrs after swabbing job</v>
          </cell>
          <cell r="AP51" t="str">
            <v>wellHead</v>
          </cell>
          <cell r="AQ51" t="str">
            <v>Well source folder found; digital-group classification absent</v>
          </cell>
          <cell r="AR51" t="str">
            <v>No standard-group gap identified in database</v>
          </cell>
          <cell r="AS51" t="str">
            <v>No usable 6_Prod workbook after recursive search</v>
          </cell>
          <cell r="AT51" t="str">
            <v>Exact source directory recovered; Value completion uses Formation evaluation completed; Candidate mapped to source well</v>
          </cell>
          <cell r="AU51" t="str">
            <v>NZBP SCREENING CANDIDATE</v>
          </cell>
          <cell r="AV51">
            <v>26</v>
          </cell>
          <cell r="AW51">
            <v>657.72054548007861</v>
          </cell>
          <cell r="AX51">
            <v>131.54410909601572</v>
          </cell>
          <cell r="AY51">
            <v>950</v>
          </cell>
          <cell r="AZ51">
            <v>1007.5</v>
          </cell>
          <cell r="BA51">
            <v>950</v>
          </cell>
          <cell r="BB51">
            <v>1007.5</v>
          </cell>
          <cell r="BC51">
            <v>58</v>
          </cell>
          <cell r="BD51">
            <v>78.599999999999994</v>
          </cell>
          <cell r="BE51">
            <v>5</v>
          </cell>
          <cell r="BF51" t="str">
            <v>Formation evaluation completed</v>
          </cell>
          <cell r="BG51" t="str">
            <v>D:\HALLIBURTON CONSULTING\Data Nations\Zona Rokan\OKI\OKI_00003\5_Well_Log_Raw\162300159_OKI_00003_T_031111_0.las</v>
          </cell>
          <cell r="BH51" t="str">
            <v>MD used as TVD; no numeric deviation survey found</v>
          </cell>
          <cell r="BI51">
            <v>0</v>
          </cell>
          <cell r="BJ51" t="str">
            <v>No numeric horizontal proof</v>
          </cell>
          <cell r="BK51" t="str">
            <v>No coordinate evidence in source/LAS</v>
          </cell>
          <cell r="BL51" t="str">
            <v>No coordinate evidence in source/LAS</v>
          </cell>
          <cell r="BM51" t="str">
            <v>No coordinate evidence in source/LAS</v>
          </cell>
          <cell r="BN51" t="str">
            <v>No coordinate evidence in source/LAS</v>
          </cell>
          <cell r="BO51" t="str">
            <v>No coordinate evidence after source and LAS-header search</v>
          </cell>
        </row>
        <row r="52">
          <cell r="A52" t="str">
            <v>Minas-00526</v>
          </cell>
          <cell r="B52" t="str">
            <v>MINA00526</v>
          </cell>
          <cell r="C52" t="str">
            <v>MINAS</v>
          </cell>
          <cell r="D52" t="str">
            <v>Minas</v>
          </cell>
          <cell r="E52">
            <v>153</v>
          </cell>
          <cell r="F52">
            <v>617.64516129032302</v>
          </cell>
          <cell r="G52">
            <v>0.14766855444594401</v>
          </cell>
          <cell r="H52">
            <v>2066.6383753</v>
          </cell>
          <cell r="I52">
            <v>378.17800959406702</v>
          </cell>
          <cell r="J52">
            <v>0.45</v>
          </cell>
          <cell r="K52">
            <v>656</v>
          </cell>
          <cell r="L52">
            <v>0.70995896439126205</v>
          </cell>
          <cell r="M52">
            <v>933</v>
          </cell>
          <cell r="N52">
            <v>1.1993932052298437</v>
          </cell>
          <cell r="O52">
            <v>31513.502964482101</v>
          </cell>
          <cell r="P52">
            <v>24433.813323403891</v>
          </cell>
          <cell r="Q52">
            <v>8.4581082287326539E-2</v>
          </cell>
          <cell r="R52">
            <v>4886.7626646807785</v>
          </cell>
          <cell r="S52">
            <v>2820.1242893807785</v>
          </cell>
          <cell r="T52">
            <v>378.17800959406702</v>
          </cell>
          <cell r="U52" t="str">
            <v>Rokan</v>
          </cell>
          <cell r="V52">
            <v>1021.6635</v>
          </cell>
          <cell r="W52">
            <v>976.99674242789899</v>
          </cell>
          <cell r="X52">
            <v>1</v>
          </cell>
          <cell r="Y52">
            <v>1</v>
          </cell>
          <cell r="Z52">
            <v>1.7272814980955</v>
          </cell>
          <cell r="AA52">
            <v>0.44743532722179702</v>
          </cell>
          <cell r="AB52">
            <v>3</v>
          </cell>
          <cell r="AC52">
            <v>4</v>
          </cell>
          <cell r="AD52">
            <v>5</v>
          </cell>
          <cell r="AE52">
            <v>5</v>
          </cell>
          <cell r="AF52">
            <v>5</v>
          </cell>
          <cell r="AG52">
            <v>2</v>
          </cell>
          <cell r="AH52">
            <v>3.8</v>
          </cell>
          <cell r="AI52">
            <v>0.7</v>
          </cell>
          <cell r="AJ52" t="str">
            <v>Tier 1 - validate for reactivation</v>
          </cell>
          <cell r="AK52" t="str">
            <v>POP</v>
          </cell>
          <cell r="AL52" t="str">
            <v>OPEN HOLE</v>
          </cell>
          <cell r="AM52" t="str">
            <v>ESP</v>
          </cell>
          <cell r="AN52" t="str">
            <v>LEAK</v>
          </cell>
          <cell r="AO52" t="str">
            <v>SURES</v>
          </cell>
          <cell r="AP52" t="str">
            <v>Wellhead</v>
          </cell>
          <cell r="AQ52" t="str">
            <v>Well source folder found; digital-group classification absent</v>
          </cell>
          <cell r="AR52" t="str">
            <v>No standard-group gap identified in database</v>
          </cell>
          <cell r="AS52" t="str">
            <v>D:\HALLIBURTON CONSULTING\Data Nations\Zona Rokan\MINAS\MINA00526\6_Prod\ProdHist_MINA00526.xlsx</v>
          </cell>
          <cell r="AT52" t="str">
            <v>field+well-number; Value completion uses Formation evaluation completed; Candidate mapped to source well</v>
          </cell>
          <cell r="AU52" t="str">
            <v>UNCONFIRMED - NO PERFORATION HISTORY</v>
          </cell>
          <cell r="AV52">
            <v>0</v>
          </cell>
          <cell r="AW52">
            <v>0</v>
          </cell>
          <cell r="AX52">
            <v>0</v>
          </cell>
          <cell r="AY52">
            <v>2359.5</v>
          </cell>
          <cell r="AZ52">
            <v>2380</v>
          </cell>
          <cell r="BA52">
            <v>2359.5</v>
          </cell>
          <cell r="BB52">
            <v>2380</v>
          </cell>
          <cell r="BC52">
            <v>21</v>
          </cell>
          <cell r="BD52">
            <v>79.8</v>
          </cell>
          <cell r="BE52">
            <v>0</v>
          </cell>
          <cell r="BF52" t="str">
            <v>Formation evaluation completed</v>
          </cell>
          <cell r="BG52" t="str">
            <v>D:\HALLIBURTON CONSULTING\Data Nations\Zona Rokan\MINAS\MINA00526\5_Well_Log_Raw\180595769_MINA00526_T_045751_0.las</v>
          </cell>
          <cell r="BH52" t="str">
            <v>MD used as TVD; no numeric deviation survey found</v>
          </cell>
          <cell r="BI52">
            <v>0</v>
          </cell>
          <cell r="BJ52" t="str">
            <v>No numeric horizontal proof</v>
          </cell>
          <cell r="BK52" t="str">
            <v>No coordinate evidence in source/LAS</v>
          </cell>
          <cell r="BL52" t="str">
            <v>No coordinate evidence in source/LAS</v>
          </cell>
          <cell r="BM52" t="str">
            <v>No coordinate evidence in source/LAS</v>
          </cell>
          <cell r="BN52" t="str">
            <v>No coordinate evidence in source/LAS</v>
          </cell>
          <cell r="BO52" t="str">
            <v>No coordinate evidence after source and LAS-header search</v>
          </cell>
        </row>
        <row r="53">
          <cell r="A53" t="str">
            <v>Minas-01255</v>
          </cell>
          <cell r="B53" t="str">
            <v>MINA01255D1</v>
          </cell>
          <cell r="C53" t="str">
            <v>MINAS</v>
          </cell>
          <cell r="D53" t="str">
            <v>Minas</v>
          </cell>
          <cell r="E53">
            <v>1.8919999999999999</v>
          </cell>
          <cell r="F53">
            <v>340.30322580645202</v>
          </cell>
          <cell r="G53">
            <v>0.14766855444594401</v>
          </cell>
          <cell r="H53">
            <v>418.34121750000003</v>
          </cell>
          <cell r="I53">
            <v>4.6765542101436202</v>
          </cell>
          <cell r="J53">
            <v>0.44193545361824499</v>
          </cell>
          <cell r="K53">
            <v>656</v>
          </cell>
          <cell r="L53">
            <v>0.57684999999999997</v>
          </cell>
          <cell r="M53">
            <v>184</v>
          </cell>
          <cell r="N53">
            <v>1.1993932052298437</v>
          </cell>
          <cell r="O53">
            <v>8904.5932885382299</v>
          </cell>
          <cell r="P53">
            <v>6904.1252055729165</v>
          </cell>
          <cell r="Q53">
            <v>6.0592936113371854E-2</v>
          </cell>
          <cell r="R53">
            <v>1380.8250411145834</v>
          </cell>
          <cell r="S53">
            <v>962.48382361458334</v>
          </cell>
          <cell r="T53">
            <v>4.6765542101436202</v>
          </cell>
          <cell r="U53" t="str">
            <v>Rokan</v>
          </cell>
          <cell r="V53">
            <v>895.01099999999997</v>
          </cell>
          <cell r="W53">
            <v>866.97902599262</v>
          </cell>
          <cell r="X53">
            <v>4</v>
          </cell>
          <cell r="Y53">
            <v>1</v>
          </cell>
          <cell r="Z53">
            <v>1.0863496994736099</v>
          </cell>
          <cell r="AA53">
            <v>6.23511541069311E-3</v>
          </cell>
          <cell r="AB53">
            <v>1</v>
          </cell>
          <cell r="AC53">
            <v>1</v>
          </cell>
          <cell r="AD53">
            <v>5</v>
          </cell>
          <cell r="AE53">
            <v>5</v>
          </cell>
          <cell r="AF53">
            <v>5</v>
          </cell>
          <cell r="AG53">
            <v>1</v>
          </cell>
          <cell r="AH53">
            <v>2.4</v>
          </cell>
          <cell r="AI53">
            <v>0.8</v>
          </cell>
          <cell r="AJ53" t="str">
            <v>Tier 3 - acquire / validate critical data</v>
          </cell>
          <cell r="AK53" t="str">
            <v>POP</v>
          </cell>
          <cell r="AL53" t="str">
            <v>CASED HOLE</v>
          </cell>
          <cell r="AM53" t="str">
            <v>ESP</v>
          </cell>
          <cell r="AN53" t="str">
            <v>Collapse</v>
          </cell>
          <cell r="AO53" t="str">
            <v>REASON CODE</v>
          </cell>
          <cell r="AP53" t="str">
            <v>FACILITY</v>
          </cell>
          <cell r="AQ53" t="str">
            <v>Well source folder found; digital-group classification absent</v>
          </cell>
          <cell r="AR53" t="str">
            <v>No standard-group gap identified in database</v>
          </cell>
          <cell r="AS53" t="str">
            <v>D:\HALLIBURTON CONSULTING\Data Nations\Zona Rokan\MINAS\MINA01255D1\6_Prod\ProdHist_MINA01255.xlsx</v>
          </cell>
          <cell r="AT53" t="str">
            <v>field+well-number; Value completion uses Formation evaluation completed; Candidate mapped to source well</v>
          </cell>
          <cell r="AU53" t="str">
            <v>NZBP SCREENING CANDIDATE</v>
          </cell>
          <cell r="AV53">
            <v>13</v>
          </cell>
          <cell r="AW53">
            <v>487.79145474156473</v>
          </cell>
          <cell r="AX53">
            <v>97.558290948312958</v>
          </cell>
          <cell r="AY53">
            <v>2067</v>
          </cell>
          <cell r="AZ53">
            <v>2080.5</v>
          </cell>
          <cell r="BA53">
            <v>2067</v>
          </cell>
          <cell r="BB53">
            <v>2080.5</v>
          </cell>
          <cell r="BC53">
            <v>14</v>
          </cell>
          <cell r="BD53">
            <v>76.3</v>
          </cell>
          <cell r="BE53">
            <v>1</v>
          </cell>
          <cell r="BF53" t="str">
            <v>Formation evaluation completed</v>
          </cell>
          <cell r="BG53" t="str">
            <v>D:\HALLIBURTON CONSULTING\Data Nations\Zona Rokan\MINAS\MINA01255D1\5_Well_Log_Raw\157085531_MINA01255D1_T_045046_0.las</v>
          </cell>
          <cell r="BH53" t="str">
            <v>MD used as TVD; no numeric deviation survey found</v>
          </cell>
          <cell r="BI53">
            <v>0</v>
          </cell>
          <cell r="BJ53" t="str">
            <v>No numeric horizontal proof</v>
          </cell>
          <cell r="BK53" t="str">
            <v>No coordinate evidence in source/LAS</v>
          </cell>
          <cell r="BL53" t="str">
            <v>No coordinate evidence in source/LAS</v>
          </cell>
          <cell r="BM53" t="str">
            <v>No coordinate evidence in source/LAS</v>
          </cell>
          <cell r="BN53" t="str">
            <v>No coordinate evidence in source/LAS</v>
          </cell>
          <cell r="BO53" t="str">
            <v>No coordinate evidence after source and LAS-header search</v>
          </cell>
        </row>
        <row r="54">
          <cell r="A54" t="str">
            <v>Minas-01903</v>
          </cell>
          <cell r="B54" t="str">
            <v>MINA01903D1</v>
          </cell>
          <cell r="C54" t="str">
            <v>MINAS</v>
          </cell>
          <cell r="D54" t="str">
            <v>Minas</v>
          </cell>
          <cell r="E54">
            <v>30.272883333333301</v>
          </cell>
          <cell r="F54">
            <v>30.272883333333301</v>
          </cell>
          <cell r="G54">
            <v>0.14766855444594401</v>
          </cell>
          <cell r="H54">
            <v>3.8408289999999998</v>
          </cell>
          <cell r="I54">
            <v>74.827050742963294</v>
          </cell>
          <cell r="J54">
            <v>0.41273571961241501</v>
          </cell>
          <cell r="K54">
            <v>656</v>
          </cell>
          <cell r="L54">
            <v>0.69785021981806505</v>
          </cell>
          <cell r="M54">
            <v>633</v>
          </cell>
          <cell r="N54">
            <v>1.1993932052298437</v>
          </cell>
          <cell r="O54">
            <v>20428.718537731002</v>
          </cell>
          <cell r="P54">
            <v>15839.289454741269</v>
          </cell>
          <cell r="Q54">
            <v>2.42487455701512E-4</v>
          </cell>
          <cell r="R54">
            <v>3167.857890948254</v>
          </cell>
          <cell r="S54">
            <v>3164.0170619482537</v>
          </cell>
          <cell r="T54">
            <v>74.827050742963294</v>
          </cell>
          <cell r="U54" t="str">
            <v>Rokan</v>
          </cell>
          <cell r="V54">
            <v>159.99350000000001</v>
          </cell>
          <cell r="W54">
            <v>159.973446280903</v>
          </cell>
          <cell r="X54">
            <v>1</v>
          </cell>
          <cell r="Y54">
            <v>1</v>
          </cell>
          <cell r="Z54">
            <v>0.54067693352729795</v>
          </cell>
          <cell r="AA54">
            <v>0.54067693352729795</v>
          </cell>
          <cell r="AB54">
            <v>2</v>
          </cell>
          <cell r="AC54">
            <v>3</v>
          </cell>
          <cell r="AD54">
            <v>5</v>
          </cell>
          <cell r="AE54">
            <v>5</v>
          </cell>
          <cell r="AF54">
            <v>5</v>
          </cell>
          <cell r="AG54">
            <v>3</v>
          </cell>
          <cell r="AH54">
            <v>3.45</v>
          </cell>
          <cell r="AI54">
            <v>0.7</v>
          </cell>
          <cell r="AJ54" t="str">
            <v>Tier 1 - validate for reactivation</v>
          </cell>
          <cell r="AK54" t="str">
            <v>POP</v>
          </cell>
          <cell r="AL54" t="str">
            <v>Open Hole</v>
          </cell>
          <cell r="AM54" t="str">
            <v>ESP</v>
          </cell>
          <cell r="AN54" t="str">
            <v>Leak</v>
          </cell>
          <cell r="AO54" t="str">
            <v>IC, PERFO,SWABTEST a INCH JTS</v>
          </cell>
          <cell r="AP54" t="str">
            <v>Wellhead</v>
          </cell>
          <cell r="AQ54" t="str">
            <v>Well source folder found; digital-group classification absent</v>
          </cell>
          <cell r="AR54" t="str">
            <v>No standard-group gap identified in database</v>
          </cell>
          <cell r="AS54" t="str">
            <v>D:\HALLIBURTON CONSULTING\Data Nations\Zona Rokan\MINAS\MINA01903D1\6_Prod\ProdHist_MINA01903.xlsx</v>
          </cell>
          <cell r="AT54" t="str">
            <v>field+well-number; Value completion uses Formation evaluation completed; Candidate mapped to source well</v>
          </cell>
          <cell r="AU54" t="str">
            <v>UNCONFIRMED - NO PERFORATION HISTORY</v>
          </cell>
          <cell r="AV54">
            <v>0</v>
          </cell>
          <cell r="AW54">
            <v>0</v>
          </cell>
          <cell r="AX54">
            <v>0</v>
          </cell>
          <cell r="AY54">
            <v>369.5</v>
          </cell>
          <cell r="AZ54">
            <v>376</v>
          </cell>
          <cell r="BA54">
            <v>369.5</v>
          </cell>
          <cell r="BB54">
            <v>376</v>
          </cell>
          <cell r="BC54">
            <v>7</v>
          </cell>
          <cell r="BD54">
            <v>93.3</v>
          </cell>
          <cell r="BE54">
            <v>0</v>
          </cell>
          <cell r="BF54" t="str">
            <v>Formation evaluation completed</v>
          </cell>
          <cell r="BG54" t="str">
            <v>D:\HALLIBURTON CONSULTING\Data Nations\Zona Rokan\MINAS\MINA01903D1\5_Well_Log_Raw\162043159_MINA01903D1_T_025311_0.las</v>
          </cell>
          <cell r="BH54" t="str">
            <v>MD used as TVD; no numeric deviation survey found</v>
          </cell>
          <cell r="BI54">
            <v>0</v>
          </cell>
          <cell r="BJ54" t="str">
            <v>No numeric horizontal proof</v>
          </cell>
          <cell r="BK54" t="str">
            <v>No coordinate evidence in source/LAS</v>
          </cell>
          <cell r="BL54" t="str">
            <v>No coordinate evidence in source/LAS</v>
          </cell>
          <cell r="BM54" t="str">
            <v>No coordinate evidence in source/LAS</v>
          </cell>
          <cell r="BN54" t="str">
            <v>No coordinate evidence in source/LAS</v>
          </cell>
          <cell r="BO54" t="str">
            <v>No coordinate evidence after source and LAS-header search</v>
          </cell>
        </row>
        <row r="55">
          <cell r="A55" t="str">
            <v>Minas-01925</v>
          </cell>
          <cell r="B55" t="str">
            <v>UNRESOLVED - no exact source well folder</v>
          </cell>
          <cell r="C55" t="str">
            <v>MINAS</v>
          </cell>
          <cell r="D55" t="str">
            <v>Minas</v>
          </cell>
          <cell r="E55">
            <v>26.249586309523799</v>
          </cell>
          <cell r="F55">
            <v>340.30322580645202</v>
          </cell>
          <cell r="G55">
            <v>0.14766855444594401</v>
          </cell>
          <cell r="H55">
            <v>418.34121750000003</v>
          </cell>
          <cell r="I55">
            <v>64.882459498061294</v>
          </cell>
          <cell r="J55">
            <v>0.43425649686259898</v>
          </cell>
          <cell r="K55">
            <v>656</v>
          </cell>
          <cell r="L55">
            <v>0.63539927778883099</v>
          </cell>
          <cell r="M55">
            <v>408.5</v>
          </cell>
          <cell r="N55">
            <v>1.1993932052298437</v>
          </cell>
          <cell r="O55">
            <v>16737.8235945138</v>
          </cell>
          <cell r="P55">
            <v>12977.575282866848</v>
          </cell>
          <cell r="Q55">
            <v>3.2235699534126312E-2</v>
          </cell>
          <cell r="R55">
            <v>2595.5150565733697</v>
          </cell>
          <cell r="S55">
            <v>2177.1738390733699</v>
          </cell>
          <cell r="T55">
            <v>64.882459498061294</v>
          </cell>
          <cell r="U55" t="str">
            <v>Rokan</v>
          </cell>
          <cell r="V55">
            <v>1732</v>
          </cell>
          <cell r="W55">
            <v>1703.1405335100801</v>
          </cell>
          <cell r="X55">
            <v>1</v>
          </cell>
          <cell r="Y55">
            <v>1</v>
          </cell>
          <cell r="Z55">
            <v>0.56137120720298805</v>
          </cell>
          <cell r="AA55">
            <v>4.40356016145316E-2</v>
          </cell>
          <cell r="AB55">
            <v>2</v>
          </cell>
          <cell r="AC55">
            <v>3</v>
          </cell>
          <cell r="AD55">
            <v>5</v>
          </cell>
          <cell r="AE55">
            <v>5</v>
          </cell>
          <cell r="AF55">
            <v>5</v>
          </cell>
          <cell r="AG55">
            <v>1</v>
          </cell>
          <cell r="AH55">
            <v>3.15</v>
          </cell>
          <cell r="AI55">
            <v>0.05</v>
          </cell>
          <cell r="AJ55" t="str">
            <v>Tier 2 - subsurface / integrity review</v>
          </cell>
          <cell r="AK55" t="str">
            <v>POP</v>
          </cell>
          <cell r="AL55" t="str">
            <v>CASED HOLE</v>
          </cell>
          <cell r="AM55" t="str">
            <v>ESP</v>
          </cell>
          <cell r="AN55" t="str">
            <v>Collapse</v>
          </cell>
          <cell r="AO55" t="str">
            <v>REASON CODE</v>
          </cell>
          <cell r="AP55" t="str">
            <v>Wellhead</v>
          </cell>
          <cell r="AQ55" t="str">
            <v>No exact source well folder</v>
          </cell>
          <cell r="AR55" t="str">
            <v>Exact well folder, digital LAS, production and test records</v>
          </cell>
          <cell r="AS55" t="str">
            <v>No usable 6_Prod workbook after recursive search</v>
          </cell>
          <cell r="AT55" t="str">
            <v>unmatched; Value completion uses no LAS evaluation; Field/regional proxies only</v>
          </cell>
          <cell r="AU55" t="str">
            <v>No LAS evaluation</v>
          </cell>
          <cell r="AV55">
            <v>0</v>
          </cell>
          <cell r="AW55">
            <v>0</v>
          </cell>
          <cell r="AX55">
            <v>0</v>
          </cell>
          <cell r="AY55" t="str">
            <v>Not calculable - no usable digital LAS</v>
          </cell>
          <cell r="AZ55" t="str">
            <v>Not calculable - no usable digital LAS</v>
          </cell>
          <cell r="BA55" t="str">
            <v>Not calculable - no usable digital LAS</v>
          </cell>
          <cell r="BB55" t="str">
            <v>Not calculable - no usable digital LAS</v>
          </cell>
          <cell r="BC55" t="str">
            <v>Not calculable - no usable digital LAS</v>
          </cell>
          <cell r="BD55" t="str">
            <v>Not calculable - no usable digital LAS</v>
          </cell>
          <cell r="BE55">
            <v>0</v>
          </cell>
          <cell r="BF55" t="str">
            <v>No LAS evaluation</v>
          </cell>
          <cell r="BG55" t="str">
            <v>No usable digital LAS source</v>
          </cell>
          <cell r="BH55" t="str">
            <v>No numeric trajectory source</v>
          </cell>
          <cell r="BI55" t="str">
            <v>No numeric inclination survey</v>
          </cell>
          <cell r="BJ55" t="str">
            <v>No numeric deviation proof</v>
          </cell>
          <cell r="BK55" t="str">
            <v>No coordinate evidence in source/LAS</v>
          </cell>
          <cell r="BL55" t="str">
            <v>No coordinate evidence in source/LAS</v>
          </cell>
          <cell r="BM55" t="str">
            <v>No coordinate evidence in source/LAS</v>
          </cell>
          <cell r="BN55" t="str">
            <v>No coordinate evidence in source/LAS</v>
          </cell>
          <cell r="BO55" t="str">
            <v>No coordinate evidence after source and LAS-header search</v>
          </cell>
        </row>
        <row r="56">
          <cell r="A56" t="str">
            <v>Minas-01929</v>
          </cell>
          <cell r="B56" t="str">
            <v>MINA01929D1</v>
          </cell>
          <cell r="C56" t="str">
            <v>MINAS</v>
          </cell>
          <cell r="D56" t="str">
            <v>Minas</v>
          </cell>
          <cell r="E56">
            <v>22.226289285714302</v>
          </cell>
          <cell r="F56">
            <v>22.226289285714302</v>
          </cell>
          <cell r="G56">
            <v>0.14766855444594401</v>
          </cell>
          <cell r="H56">
            <v>12.102278699999999</v>
          </cell>
          <cell r="I56">
            <v>54.937868253159202</v>
          </cell>
          <cell r="J56">
            <v>0.39922892822600498</v>
          </cell>
          <cell r="K56">
            <v>656</v>
          </cell>
          <cell r="L56">
            <v>0.693948555577663</v>
          </cell>
          <cell r="M56">
            <v>648</v>
          </cell>
          <cell r="N56">
            <v>1.1993932052298437</v>
          </cell>
          <cell r="O56">
            <v>20489.6489908148</v>
          </cell>
          <cell r="P56">
            <v>15886.53153119454</v>
          </cell>
          <cell r="Q56">
            <v>7.6179490005330358E-4</v>
          </cell>
          <cell r="R56">
            <v>3177.3063062389083</v>
          </cell>
          <cell r="S56">
            <v>3165.2040275389081</v>
          </cell>
          <cell r="T56">
            <v>54.937868253159202</v>
          </cell>
          <cell r="U56" t="str">
            <v>Rokan</v>
          </cell>
          <cell r="V56">
            <v>169.303</v>
          </cell>
          <cell r="W56">
            <v>169.236333750075</v>
          </cell>
          <cell r="X56">
            <v>21</v>
          </cell>
          <cell r="Y56">
            <v>74</v>
          </cell>
          <cell r="Z56">
            <v>0.37523670163672102</v>
          </cell>
          <cell r="AA56">
            <v>0.37523670163672102</v>
          </cell>
          <cell r="AB56">
            <v>2</v>
          </cell>
          <cell r="AC56">
            <v>3</v>
          </cell>
          <cell r="AD56">
            <v>5</v>
          </cell>
          <cell r="AE56">
            <v>5</v>
          </cell>
          <cell r="AF56">
            <v>2</v>
          </cell>
          <cell r="AG56">
            <v>2</v>
          </cell>
          <cell r="AH56">
            <v>2.85</v>
          </cell>
          <cell r="AI56">
            <v>0.7</v>
          </cell>
          <cell r="AJ56" t="str">
            <v>Tier 2 - subsurface / integrity review</v>
          </cell>
          <cell r="AK56" t="str">
            <v>SHUT IN</v>
          </cell>
          <cell r="AL56" t="str">
            <v>Cased Hole</v>
          </cell>
          <cell r="AM56" t="str">
            <v>ESP</v>
          </cell>
          <cell r="AN56" t="str">
            <v>Good</v>
          </cell>
          <cell r="AO56" t="str">
            <v>IC, PERFO, SWAB</v>
          </cell>
          <cell r="AP56" t="str">
            <v>FLOW LINE</v>
          </cell>
          <cell r="AQ56" t="str">
            <v>Well source folder found; digital-group classification absent</v>
          </cell>
          <cell r="AR56" t="str">
            <v>No standard-group gap identified in database</v>
          </cell>
          <cell r="AS56" t="str">
            <v>D:\HALLIBURTON CONSULTING\Data Nations\Zona Rokan\MINAS\MINA01929D1\6_Prod\ProdHist_MINA01929.xlsx</v>
          </cell>
          <cell r="AT56" t="str">
            <v>field+well-number; Value completion uses Formation evaluation completed; Candidate mapped to source well</v>
          </cell>
          <cell r="AU56" t="str">
            <v>UNCONFIRMED - NO PERFORATION HISTORY</v>
          </cell>
          <cell r="AV56">
            <v>0</v>
          </cell>
          <cell r="AW56">
            <v>0</v>
          </cell>
          <cell r="AX56">
            <v>0</v>
          </cell>
          <cell r="AY56">
            <v>391</v>
          </cell>
          <cell r="AZ56">
            <v>403</v>
          </cell>
          <cell r="BA56">
            <v>391</v>
          </cell>
          <cell r="BB56">
            <v>403</v>
          </cell>
          <cell r="BC56">
            <v>12.5</v>
          </cell>
          <cell r="BD56">
            <v>87.5</v>
          </cell>
          <cell r="BE56">
            <v>0</v>
          </cell>
          <cell r="BF56" t="str">
            <v>Formation evaluation completed</v>
          </cell>
          <cell r="BG56" t="str">
            <v>D:\HALLIBURTON CONSULTING\Data Nations\Zona Rokan\MINAS\MINA01929D1\5_Well_Log_Raw\366745006_271048948_MINA01929D1_T_164415_0.las</v>
          </cell>
          <cell r="BH56" t="str">
            <v>MD used as TVD; no numeric deviation survey found</v>
          </cell>
          <cell r="BI56">
            <v>0</v>
          </cell>
          <cell r="BJ56" t="str">
            <v>No numeric horizontal proof</v>
          </cell>
          <cell r="BK56" t="str">
            <v>No coordinate evidence in source/LAS</v>
          </cell>
          <cell r="BL56" t="str">
            <v>No coordinate evidence in source/LAS</v>
          </cell>
          <cell r="BM56" t="str">
            <v>No coordinate evidence in source/LAS</v>
          </cell>
          <cell r="BN56" t="str">
            <v>No coordinate evidence in source/LAS</v>
          </cell>
          <cell r="BO56" t="str">
            <v>No coordinate evidence after source and LAS-header search</v>
          </cell>
        </row>
        <row r="57">
          <cell r="A57" t="str">
            <v>Minas-01258</v>
          </cell>
          <cell r="B57" t="str">
            <v>MINA01258D1</v>
          </cell>
          <cell r="C57" t="str">
            <v>MINAS</v>
          </cell>
          <cell r="D57" t="str">
            <v>Minas</v>
          </cell>
          <cell r="E57">
            <v>414.95</v>
          </cell>
          <cell r="F57">
            <v>537.55333333333294</v>
          </cell>
          <cell r="G57">
            <v>0.14766855444594401</v>
          </cell>
          <cell r="H57">
            <v>482.70419099999998</v>
          </cell>
          <cell r="I57">
            <v>1025.6533665428601</v>
          </cell>
          <cell r="J57">
            <v>0.42657754010695198</v>
          </cell>
          <cell r="K57">
            <v>656</v>
          </cell>
          <cell r="L57">
            <v>0.47499999999999998</v>
          </cell>
          <cell r="M57">
            <v>77.5</v>
          </cell>
          <cell r="N57">
            <v>1.1993932052298437</v>
          </cell>
          <cell r="O57">
            <v>4491.6102863340802</v>
          </cell>
          <cell r="P57">
            <v>3482.5442091112523</v>
          </cell>
          <cell r="Q57">
            <v>0.13860676620762452</v>
          </cell>
          <cell r="R57">
            <v>696.50884182225047</v>
          </cell>
          <cell r="S57">
            <v>213.80465082225049</v>
          </cell>
          <cell r="T57">
            <v>1025.6533665428601</v>
          </cell>
          <cell r="U57" t="str">
            <v>Rokan</v>
          </cell>
          <cell r="V57">
            <v>1083.799</v>
          </cell>
          <cell r="W57">
            <v>1006.14988885704</v>
          </cell>
          <cell r="X57">
            <v>99</v>
          </cell>
          <cell r="Y57">
            <v>99.3</v>
          </cell>
          <cell r="Z57">
            <v>1.4171139359481499</v>
          </cell>
          <cell r="AA57">
            <v>1.17832486163488</v>
          </cell>
          <cell r="AB57">
            <v>4</v>
          </cell>
          <cell r="AC57">
            <v>5</v>
          </cell>
          <cell r="AD57">
            <v>3</v>
          </cell>
          <cell r="AE57">
            <v>5</v>
          </cell>
          <cell r="AF57">
            <v>1</v>
          </cell>
          <cell r="AG57">
            <v>4</v>
          </cell>
          <cell r="AH57">
            <v>4</v>
          </cell>
          <cell r="AI57">
            <v>0.8</v>
          </cell>
          <cell r="AJ57" t="str">
            <v>Tier 1 - validate for reactivation</v>
          </cell>
          <cell r="AK57" t="str">
            <v>SUSPENDED</v>
          </cell>
          <cell r="AL57" t="str">
            <v>CASED HOLE</v>
          </cell>
          <cell r="AM57" t="str">
            <v>ESP</v>
          </cell>
          <cell r="AN57" t="str">
            <v>Pressure Test Line</v>
          </cell>
          <cell r="AO57" t="str">
            <v>SHUT IN WELL &amp; MAINTAIN CP @ 100 PSI,NO BUILD UP PRESS</v>
          </cell>
          <cell r="AP57" t="str">
            <v>WHC</v>
          </cell>
          <cell r="AQ57" t="str">
            <v>Well source folder found; digital-group classification absent</v>
          </cell>
          <cell r="AR57" t="str">
            <v>No standard-group gap identified in database</v>
          </cell>
          <cell r="AS57" t="str">
            <v>D:\HALLIBURTON CONSULTING\Data Nations\Zona Rokan\MINAS\MINA01258D1\6_Prod\ProdHist_MINA01258.xlsx</v>
          </cell>
          <cell r="AT57" t="str">
            <v>field+well-number; Value completion uses Formation evaluation completed; Candidate mapped to source well</v>
          </cell>
          <cell r="AU57" t="str">
            <v>NZBP SCREENING CANDIDATE</v>
          </cell>
          <cell r="AV57">
            <v>6</v>
          </cell>
          <cell r="AW57">
            <v>269.61632586667764</v>
          </cell>
          <cell r="AX57">
            <v>53.92326517333553</v>
          </cell>
          <cell r="AY57">
            <v>2503</v>
          </cell>
          <cell r="AZ57">
            <v>2507.5</v>
          </cell>
          <cell r="BA57">
            <v>2503</v>
          </cell>
          <cell r="BB57">
            <v>2507.5</v>
          </cell>
          <cell r="BC57">
            <v>5</v>
          </cell>
          <cell r="BD57">
            <v>81.8</v>
          </cell>
          <cell r="BE57">
            <v>1</v>
          </cell>
          <cell r="BF57" t="str">
            <v>Formation evaluation completed</v>
          </cell>
          <cell r="BG57" t="str">
            <v>D:\HALLIBURTON CONSULTING\Data Nations\Zona Rokan\MINAS\MINA01258D1\5_Well_Log_Raw\157100974_MINA01258D1_T_004849_0.las</v>
          </cell>
          <cell r="BH57" t="str">
            <v>MD used as TVD; no numeric deviation survey found</v>
          </cell>
          <cell r="BI57">
            <v>0</v>
          </cell>
          <cell r="BJ57" t="str">
            <v>No numeric horizontal proof</v>
          </cell>
          <cell r="BK57">
            <v>0.80409393379346195</v>
          </cell>
          <cell r="BL57" t="str">
            <v>No coordinate evidence in source/LAS</v>
          </cell>
          <cell r="BM57">
            <v>763902.9</v>
          </cell>
          <cell r="BN57">
            <v>88953.57</v>
          </cell>
          <cell r="BO57" t="str">
            <v>Source X/Y or local grid; CRS verification required</v>
          </cell>
        </row>
        <row r="58">
          <cell r="A58" t="str">
            <v>Minas-01255</v>
          </cell>
          <cell r="B58" t="str">
            <v>MINA01255D1</v>
          </cell>
          <cell r="C58" t="str">
            <v>MINAS</v>
          </cell>
          <cell r="D58" t="str">
            <v>Minas</v>
          </cell>
          <cell r="E58">
            <v>1.8919999999999999</v>
          </cell>
          <cell r="F58">
            <v>340.30322580645202</v>
          </cell>
          <cell r="G58">
            <v>0.14766855444594401</v>
          </cell>
          <cell r="H58">
            <v>418.34121750000003</v>
          </cell>
          <cell r="I58">
            <v>4.6765542101436202</v>
          </cell>
          <cell r="J58">
            <v>0.44193545361824499</v>
          </cell>
          <cell r="K58">
            <v>656</v>
          </cell>
          <cell r="L58">
            <v>0.57684999999999997</v>
          </cell>
          <cell r="M58">
            <v>184</v>
          </cell>
          <cell r="N58">
            <v>1.1993932052298437</v>
          </cell>
          <cell r="O58">
            <v>8904.5932885382299</v>
          </cell>
          <cell r="P58">
            <v>6904.1252055729165</v>
          </cell>
          <cell r="Q58">
            <v>6.0592936113371854E-2</v>
          </cell>
          <cell r="R58">
            <v>1380.8250411145834</v>
          </cell>
          <cell r="S58">
            <v>962.48382361458334</v>
          </cell>
          <cell r="T58">
            <v>4.6765542101436202</v>
          </cell>
          <cell r="U58" t="str">
            <v>Rokan</v>
          </cell>
          <cell r="V58">
            <v>895.01099999999997</v>
          </cell>
          <cell r="W58">
            <v>866.97902599262</v>
          </cell>
          <cell r="X58">
            <v>4</v>
          </cell>
          <cell r="Y58">
            <v>1</v>
          </cell>
          <cell r="Z58">
            <v>1.0863496994736099</v>
          </cell>
          <cell r="AA58">
            <v>6.23511541069311E-3</v>
          </cell>
          <cell r="AB58">
            <v>1</v>
          </cell>
          <cell r="AC58">
            <v>1</v>
          </cell>
          <cell r="AD58">
            <v>5</v>
          </cell>
          <cell r="AE58">
            <v>5</v>
          </cell>
          <cell r="AF58">
            <v>5</v>
          </cell>
          <cell r="AG58">
            <v>1</v>
          </cell>
          <cell r="AH58">
            <v>2.4</v>
          </cell>
          <cell r="AI58">
            <v>0.8</v>
          </cell>
          <cell r="AJ58" t="str">
            <v>Tier 3 - acquire / validate critical data</v>
          </cell>
          <cell r="AK58" t="str">
            <v>POP</v>
          </cell>
          <cell r="AL58" t="str">
            <v>CASED HOLE</v>
          </cell>
          <cell r="AM58" t="str">
            <v>ESP</v>
          </cell>
          <cell r="AN58" t="str">
            <v>Collapse</v>
          </cell>
          <cell r="AO58" t="str">
            <v>REASON CODE</v>
          </cell>
          <cell r="AP58" t="str">
            <v>FACILITY</v>
          </cell>
          <cell r="AQ58" t="str">
            <v>Well source folder found; digital-group classification absent</v>
          </cell>
          <cell r="AR58" t="str">
            <v>No standard-group gap identified in database</v>
          </cell>
          <cell r="AS58" t="str">
            <v>D:\HALLIBURTON CONSULTING\Data Nations\Zona Rokan\MINAS\MINA01255D1\6_Prod\ProdHist_MINA01255.xlsx</v>
          </cell>
          <cell r="AT58" t="str">
            <v>field+well-number; Value completion uses Formation evaluation completed; Candidate mapped to source well</v>
          </cell>
          <cell r="AU58" t="str">
            <v>NZBP SCREENING CANDIDATE</v>
          </cell>
          <cell r="AV58">
            <v>13</v>
          </cell>
          <cell r="AW58">
            <v>487.79145474156473</v>
          </cell>
          <cell r="AX58">
            <v>97.558290948312958</v>
          </cell>
          <cell r="AY58">
            <v>2067</v>
          </cell>
          <cell r="AZ58">
            <v>2080.5</v>
          </cell>
          <cell r="BA58">
            <v>2067</v>
          </cell>
          <cell r="BB58">
            <v>2080.5</v>
          </cell>
          <cell r="BC58">
            <v>14</v>
          </cell>
          <cell r="BD58">
            <v>76.3</v>
          </cell>
          <cell r="BE58">
            <v>1</v>
          </cell>
          <cell r="BF58" t="str">
            <v>Formation evaluation completed</v>
          </cell>
          <cell r="BG58" t="str">
            <v>D:\HALLIBURTON CONSULTING\Data Nations\Zona Rokan\MINAS\MINA01255D1\5_Well_Log_Raw\157085531_MINA01255D1_T_045046_0.las</v>
          </cell>
          <cell r="BH58" t="str">
            <v>MD used as TVD; no numeric deviation survey found</v>
          </cell>
          <cell r="BI58">
            <v>0</v>
          </cell>
          <cell r="BJ58" t="str">
            <v>No numeric horizontal proof</v>
          </cell>
          <cell r="BK58" t="str">
            <v>No coordinate evidence in source/LAS</v>
          </cell>
          <cell r="BL58" t="str">
            <v>No coordinate evidence in source/LAS</v>
          </cell>
          <cell r="BM58" t="str">
            <v>No coordinate evidence in source/LAS</v>
          </cell>
          <cell r="BN58" t="str">
            <v>No coordinate evidence in source/LAS</v>
          </cell>
          <cell r="BO58" t="str">
            <v>No coordinate evidence after source and LAS-header search</v>
          </cell>
        </row>
        <row r="59">
          <cell r="A59" t="str">
            <v>Duri-04043</v>
          </cell>
          <cell r="B59" t="str">
            <v>DURI04043</v>
          </cell>
          <cell r="C59" t="str">
            <v>DURI</v>
          </cell>
          <cell r="D59" t="str">
            <v>Duri</v>
          </cell>
          <cell r="E59">
            <v>46</v>
          </cell>
          <cell r="F59">
            <v>100</v>
          </cell>
          <cell r="G59">
            <v>0.64926872740180996</v>
          </cell>
          <cell r="H59">
            <v>411.89210320000001</v>
          </cell>
          <cell r="I59">
            <v>25.8598624751092</v>
          </cell>
          <cell r="J59">
            <v>0.34961619875136102</v>
          </cell>
          <cell r="K59">
            <v>656</v>
          </cell>
          <cell r="L59">
            <v>0.64854671038110201</v>
          </cell>
          <cell r="M59">
            <v>147.25</v>
          </cell>
          <cell r="N59">
            <v>1.1993932052298437</v>
          </cell>
          <cell r="O59">
            <v>4682.2817048560601</v>
          </cell>
          <cell r="P59">
            <v>3630.3801971169469</v>
          </cell>
          <cell r="Q59">
            <v>0.11345701574923271</v>
          </cell>
          <cell r="R59">
            <v>726.07603942338937</v>
          </cell>
          <cell r="S59">
            <v>314.18393622338937</v>
          </cell>
          <cell r="T59">
            <v>25.8598624751092</v>
          </cell>
          <cell r="U59" t="str">
            <v>Rokan</v>
          </cell>
          <cell r="V59">
            <v>188.35499999999999</v>
          </cell>
          <cell r="W59">
            <v>177.308827501412</v>
          </cell>
          <cell r="X59">
            <v>1</v>
          </cell>
          <cell r="Y59">
            <v>1</v>
          </cell>
          <cell r="Z59">
            <v>1.5168924940367201</v>
          </cell>
          <cell r="AA59">
            <v>0.74124099335959504</v>
          </cell>
          <cell r="AB59">
            <v>2</v>
          </cell>
          <cell r="AC59">
            <v>2</v>
          </cell>
          <cell r="AD59">
            <v>4</v>
          </cell>
          <cell r="AE59">
            <v>5</v>
          </cell>
          <cell r="AF59">
            <v>5</v>
          </cell>
          <cell r="AG59">
            <v>3</v>
          </cell>
          <cell r="AH59">
            <v>3.2</v>
          </cell>
          <cell r="AI59">
            <v>0.65</v>
          </cell>
          <cell r="AJ59" t="str">
            <v>Tier 1 - validate for reactivation</v>
          </cell>
          <cell r="AK59" t="str">
            <v>POP</v>
          </cell>
          <cell r="AL59" t="str">
            <v>OPEN HOLE</v>
          </cell>
          <cell r="AM59" t="str">
            <v>ESP</v>
          </cell>
          <cell r="AN59" t="str">
            <v>good</v>
          </cell>
          <cell r="AO59" t="str">
            <v>Shut in well and Set Sqr tank+ fbr tank</v>
          </cell>
          <cell r="AP59" t="str">
            <v>Wellhead</v>
          </cell>
          <cell r="AQ59" t="str">
            <v>Well source folder found; digital-group classification absent</v>
          </cell>
          <cell r="AR59" t="str">
            <v>No standard-group gap identified in database</v>
          </cell>
          <cell r="AS59" t="str">
            <v>No usable 6_Prod workbook after recursive search</v>
          </cell>
          <cell r="AT59" t="str">
            <v>field+well-number; Value completion uses Formation evaluation completed; Candidate mapped to source well</v>
          </cell>
          <cell r="AU59" t="str">
            <v>No qualifying &gt;=5 ft NZBP interval in interpreted LAS</v>
          </cell>
          <cell r="AV59">
            <v>0</v>
          </cell>
          <cell r="AW59">
            <v>0</v>
          </cell>
          <cell r="AX59">
            <v>0</v>
          </cell>
          <cell r="AY59" t="str">
            <v>No qualifying &gt;=5 ft interval</v>
          </cell>
          <cell r="AZ59" t="str">
            <v>No qualifying &gt;=5 ft interval</v>
          </cell>
          <cell r="BA59" t="str">
            <v>No qualifying &gt;=5 ft interval</v>
          </cell>
          <cell r="BB59" t="str">
            <v>No qualifying &gt;=5 ft interval</v>
          </cell>
          <cell r="BC59" t="str">
            <v>No qualifying &gt;=5 ft interval</v>
          </cell>
          <cell r="BD59" t="str">
            <v>No qualifying &gt;=5 ft interval</v>
          </cell>
          <cell r="BE59">
            <v>1</v>
          </cell>
          <cell r="BF59" t="str">
            <v>Formation evaluation completed</v>
          </cell>
          <cell r="BG59" t="str">
            <v>D:\HALLIBURTON CONSULTING\Data Nations\Zona Rokan\DURI\DURI04043\5_Well_Log_Raw\DURI04043_Spinner_DURI4043_06March10_HHI.LAS_Spinner_DURI4043_06March10_HHI.LAS_224186.las</v>
          </cell>
          <cell r="BH59" t="str">
            <v>MD used as TVD; no numeric deviation survey found</v>
          </cell>
          <cell r="BI59">
            <v>0</v>
          </cell>
          <cell r="BJ59" t="str">
            <v>No numeric horizontal proof</v>
          </cell>
          <cell r="BK59" t="str">
            <v>No coordinate evidence in source/LAS</v>
          </cell>
          <cell r="BL59" t="str">
            <v>No coordinate evidence in source/LAS</v>
          </cell>
          <cell r="BM59" t="str">
            <v>No coordinate evidence in source/LAS</v>
          </cell>
          <cell r="BN59" t="str">
            <v>No coordinate evidence in source/LAS</v>
          </cell>
          <cell r="BO59" t="str">
            <v>No coordinate evidence after source and LAS-header search</v>
          </cell>
        </row>
        <row r="60">
          <cell r="A60" t="str">
            <v>Duri-04052</v>
          </cell>
          <cell r="B60" t="str">
            <v>DURI04052</v>
          </cell>
          <cell r="C60" t="str">
            <v>DURI</v>
          </cell>
          <cell r="D60" t="str">
            <v>Duri</v>
          </cell>
          <cell r="E60">
            <v>37</v>
          </cell>
          <cell r="F60">
            <v>100</v>
          </cell>
          <cell r="G60">
            <v>0.64926872740180996</v>
          </cell>
          <cell r="H60">
            <v>411.89210320000001</v>
          </cell>
          <cell r="I60">
            <v>20.8003241647618</v>
          </cell>
          <cell r="J60">
            <v>0.34961619875136102</v>
          </cell>
          <cell r="K60">
            <v>656</v>
          </cell>
          <cell r="L60">
            <v>0.64854671038110201</v>
          </cell>
          <cell r="M60">
            <v>147.25</v>
          </cell>
          <cell r="N60">
            <v>1.1993932052298437</v>
          </cell>
          <cell r="O60">
            <v>4682.2817048560601</v>
          </cell>
          <cell r="P60">
            <v>3630.3801971169469</v>
          </cell>
          <cell r="Q60">
            <v>0.11345701574923271</v>
          </cell>
          <cell r="R60">
            <v>726.07603942338937</v>
          </cell>
          <cell r="S60">
            <v>314.18393622338937</v>
          </cell>
          <cell r="T60">
            <v>20.8003241647618</v>
          </cell>
          <cell r="U60" t="str">
            <v>Rokan</v>
          </cell>
          <cell r="V60">
            <v>204.809</v>
          </cell>
          <cell r="W60">
            <v>192.79787450153501</v>
          </cell>
          <cell r="X60">
            <v>1</v>
          </cell>
          <cell r="Y60">
            <v>1</v>
          </cell>
          <cell r="Z60">
            <v>1.39502798077372</v>
          </cell>
          <cell r="AA60">
            <v>0.548316655396759</v>
          </cell>
          <cell r="AB60">
            <v>2</v>
          </cell>
          <cell r="AC60">
            <v>2</v>
          </cell>
          <cell r="AD60">
            <v>4</v>
          </cell>
          <cell r="AE60">
            <v>5</v>
          </cell>
          <cell r="AF60">
            <v>5</v>
          </cell>
          <cell r="AG60">
            <v>3</v>
          </cell>
          <cell r="AH60">
            <v>3.2</v>
          </cell>
          <cell r="AI60">
            <v>0.35</v>
          </cell>
          <cell r="AJ60" t="str">
            <v>Tier 2 - subsurface / integrity review</v>
          </cell>
          <cell r="AK60" t="str">
            <v>SHUT IN</v>
          </cell>
          <cell r="AL60" t="str">
            <v>OPEN HOLE</v>
          </cell>
          <cell r="AM60" t="str">
            <v>ESP</v>
          </cell>
          <cell r="AN60" t="str">
            <v>good</v>
          </cell>
          <cell r="AO60" t="str">
            <v>SHUT IN WELL &amp; RIU B</v>
          </cell>
          <cell r="AP60" t="str">
            <v>Wellhead</v>
          </cell>
          <cell r="AQ60" t="str">
            <v>Well source folder found; digital-group classification absent</v>
          </cell>
          <cell r="AR60" t="str">
            <v>No standard-group gap identified in database</v>
          </cell>
          <cell r="AS60" t="str">
            <v>No usable 6_Prod workbook after recursive search</v>
          </cell>
          <cell r="AT60" t="str">
            <v>field+well-number; Value completion uses No digital LAS found after recursive source search; Candidate mapped to source well</v>
          </cell>
          <cell r="AU60" t="str">
            <v>No digital LAS found after recursive source search</v>
          </cell>
          <cell r="AV60">
            <v>0</v>
          </cell>
          <cell r="AW60">
            <v>0</v>
          </cell>
          <cell r="AX60">
            <v>0</v>
          </cell>
          <cell r="AY60" t="str">
            <v>Not calculable - no usable digital LAS</v>
          </cell>
          <cell r="AZ60" t="str">
            <v>Not calculable - no usable digital LAS</v>
          </cell>
          <cell r="BA60" t="str">
            <v>Not calculable - no usable digital LAS</v>
          </cell>
          <cell r="BB60" t="str">
            <v>Not calculable - no usable digital LAS</v>
          </cell>
          <cell r="BC60" t="str">
            <v>Not calculable - no usable digital LAS</v>
          </cell>
          <cell r="BD60" t="str">
            <v>Not calculable - no usable digital LAS</v>
          </cell>
          <cell r="BE60">
            <v>0</v>
          </cell>
          <cell r="BF60" t="str">
            <v>No digital LAS found after recursive source search</v>
          </cell>
          <cell r="BG60" t="str">
            <v>No usable digital LAS source</v>
          </cell>
          <cell r="BH60" t="str">
            <v>No numeric trajectory source</v>
          </cell>
          <cell r="BI60" t="str">
            <v>No numeric inclination survey</v>
          </cell>
          <cell r="BJ60" t="str">
            <v>No numeric deviation proof</v>
          </cell>
          <cell r="BK60" t="str">
            <v>No coordinate evidence in source/LAS</v>
          </cell>
          <cell r="BL60" t="str">
            <v>No coordinate evidence in source/LAS</v>
          </cell>
          <cell r="BM60" t="str">
            <v>No coordinate evidence in source/LAS</v>
          </cell>
          <cell r="BN60" t="str">
            <v>No coordinate evidence in source/LAS</v>
          </cell>
          <cell r="BO60" t="str">
            <v>No coordinate evidence after source and LAS-header search</v>
          </cell>
        </row>
        <row r="61">
          <cell r="A61" t="str">
            <v>Duri-04055</v>
          </cell>
          <cell r="B61" t="str">
            <v>DURI04055</v>
          </cell>
          <cell r="C61" t="str">
            <v>DURI</v>
          </cell>
          <cell r="D61" t="str">
            <v>Duri</v>
          </cell>
          <cell r="E61">
            <v>25</v>
          </cell>
          <cell r="F61">
            <v>90</v>
          </cell>
          <cell r="G61">
            <v>0.64926872740180996</v>
          </cell>
          <cell r="H61">
            <v>411.89210320000001</v>
          </cell>
          <cell r="I61">
            <v>14.054273084298501</v>
          </cell>
          <cell r="J61">
            <v>0.34961619875136102</v>
          </cell>
          <cell r="K61">
            <v>656</v>
          </cell>
          <cell r="L61">
            <v>0.64854671038110201</v>
          </cell>
          <cell r="M61">
            <v>147.25</v>
          </cell>
          <cell r="N61">
            <v>1.1993932052298437</v>
          </cell>
          <cell r="O61">
            <v>4682.2817048560601</v>
          </cell>
          <cell r="P61">
            <v>3630.3801971169469</v>
          </cell>
          <cell r="Q61">
            <v>0.11345701574923271</v>
          </cell>
          <cell r="R61">
            <v>726.07603942338937</v>
          </cell>
          <cell r="S61">
            <v>314.18393622338937</v>
          </cell>
          <cell r="T61">
            <v>14.054273084298501</v>
          </cell>
          <cell r="U61" t="str">
            <v>Rokan</v>
          </cell>
          <cell r="V61">
            <v>247.67599999999999</v>
          </cell>
          <cell r="W61">
            <v>233.15091800185601</v>
          </cell>
          <cell r="X61">
            <v>1</v>
          </cell>
          <cell r="Y61">
            <v>1</v>
          </cell>
          <cell r="Z61">
            <v>1.0382227472296801</v>
          </cell>
          <cell r="AA61">
            <v>0.30636195662760701</v>
          </cell>
          <cell r="AB61">
            <v>2</v>
          </cell>
          <cell r="AC61">
            <v>2</v>
          </cell>
          <cell r="AD61">
            <v>4</v>
          </cell>
          <cell r="AE61">
            <v>5</v>
          </cell>
          <cell r="AF61">
            <v>5</v>
          </cell>
          <cell r="AG61">
            <v>2</v>
          </cell>
          <cell r="AH61">
            <v>3.05</v>
          </cell>
          <cell r="AI61">
            <v>0.35</v>
          </cell>
          <cell r="AJ61" t="str">
            <v>Tier 2 - subsurface / integrity review</v>
          </cell>
          <cell r="AK61" t="str">
            <v>SHUT IN</v>
          </cell>
          <cell r="AL61" t="str">
            <v>OPEN HOLE</v>
          </cell>
          <cell r="AM61" t="str">
            <v>ESP</v>
          </cell>
          <cell r="AN61" t="str">
            <v>good</v>
          </cell>
          <cell r="AO61" t="str">
            <v>Shut in well &amp; prepared water f/ killing line</v>
          </cell>
          <cell r="AP61" t="str">
            <v>Wellhead</v>
          </cell>
          <cell r="AQ61" t="str">
            <v>Well source folder found; digital-group classification absent</v>
          </cell>
          <cell r="AR61" t="str">
            <v>No standard-group gap identified in database</v>
          </cell>
          <cell r="AS61" t="str">
            <v>No usable 6_Prod workbook after recursive search</v>
          </cell>
          <cell r="AT61" t="str">
            <v>field+well-number; Value completion uses No digital LAS found after recursive source search; Candidate mapped to source well</v>
          </cell>
          <cell r="AU61" t="str">
            <v>No digital LAS found after recursive source search</v>
          </cell>
          <cell r="AV61">
            <v>0</v>
          </cell>
          <cell r="AW61">
            <v>0</v>
          </cell>
          <cell r="AX61">
            <v>0</v>
          </cell>
          <cell r="AY61" t="str">
            <v>Not calculable - no usable digital LAS</v>
          </cell>
          <cell r="AZ61" t="str">
            <v>Not calculable - no usable digital LAS</v>
          </cell>
          <cell r="BA61" t="str">
            <v>Not calculable - no usable digital LAS</v>
          </cell>
          <cell r="BB61" t="str">
            <v>Not calculable - no usable digital LAS</v>
          </cell>
          <cell r="BC61" t="str">
            <v>Not calculable - no usable digital LAS</v>
          </cell>
          <cell r="BD61" t="str">
            <v>Not calculable - no usable digital LAS</v>
          </cell>
          <cell r="BE61">
            <v>0</v>
          </cell>
          <cell r="BF61" t="str">
            <v>No digital LAS found after recursive source search</v>
          </cell>
          <cell r="BG61" t="str">
            <v>No usable digital LAS source</v>
          </cell>
          <cell r="BH61" t="str">
            <v>No numeric trajectory source</v>
          </cell>
          <cell r="BI61" t="str">
            <v>No numeric inclination survey</v>
          </cell>
          <cell r="BJ61" t="str">
            <v>No numeric deviation proof</v>
          </cell>
          <cell r="BK61" t="str">
            <v>No coordinate evidence in source/LAS</v>
          </cell>
          <cell r="BL61" t="str">
            <v>No coordinate evidence in source/LAS</v>
          </cell>
          <cell r="BM61" t="str">
            <v>No coordinate evidence in source/LAS</v>
          </cell>
          <cell r="BN61" t="str">
            <v>No coordinate evidence in source/LAS</v>
          </cell>
          <cell r="BO61" t="str">
            <v>No coordinate evidence after source and LAS-header search</v>
          </cell>
        </row>
        <row r="62">
          <cell r="A62" t="str">
            <v>Duri-04060</v>
          </cell>
          <cell r="B62" t="str">
            <v>DURI04060</v>
          </cell>
          <cell r="C62" t="str">
            <v>DURI</v>
          </cell>
          <cell r="D62" t="str">
            <v>Duri</v>
          </cell>
          <cell r="E62">
            <v>20</v>
          </cell>
          <cell r="F62">
            <v>37</v>
          </cell>
          <cell r="G62">
            <v>0.64926872740180996</v>
          </cell>
          <cell r="H62">
            <v>411.89210320000001</v>
          </cell>
          <cell r="I62">
            <v>11.243418467438801</v>
          </cell>
          <cell r="J62">
            <v>0.34961619875136102</v>
          </cell>
          <cell r="K62">
            <v>656</v>
          </cell>
          <cell r="L62">
            <v>0.64854671038110201</v>
          </cell>
          <cell r="M62">
            <v>147.25</v>
          </cell>
          <cell r="N62">
            <v>1.1993932052298437</v>
          </cell>
          <cell r="O62">
            <v>4682.2817048560601</v>
          </cell>
          <cell r="P62">
            <v>3630.3801971169469</v>
          </cell>
          <cell r="Q62">
            <v>0.11345701574923271</v>
          </cell>
          <cell r="R62">
            <v>726.07603942338937</v>
          </cell>
          <cell r="S62">
            <v>314.18393622338937</v>
          </cell>
          <cell r="T62">
            <v>11.243418467438801</v>
          </cell>
          <cell r="U62" t="str">
            <v>Rokan</v>
          </cell>
          <cell r="V62">
            <v>1732</v>
          </cell>
          <cell r="W62">
            <v>1630.42600001298</v>
          </cell>
          <cell r="X62">
            <v>1</v>
          </cell>
          <cell r="Y62">
            <v>1</v>
          </cell>
          <cell r="Z62">
            <v>6.10359617288024E-2</v>
          </cell>
          <cell r="AA62">
            <v>3.5047807838198199E-2</v>
          </cell>
          <cell r="AB62">
            <v>2</v>
          </cell>
          <cell r="AC62">
            <v>2</v>
          </cell>
          <cell r="AD62">
            <v>4</v>
          </cell>
          <cell r="AE62">
            <v>5</v>
          </cell>
          <cell r="AF62">
            <v>5</v>
          </cell>
          <cell r="AG62">
            <v>1</v>
          </cell>
          <cell r="AH62">
            <v>2.9</v>
          </cell>
          <cell r="AI62">
            <v>0.35</v>
          </cell>
          <cell r="AJ62" t="str">
            <v>Tier 2 - subsurface / integrity review</v>
          </cell>
          <cell r="AK62" t="str">
            <v>SHUT IN</v>
          </cell>
          <cell r="AL62" t="str">
            <v>OPEN HOLE</v>
          </cell>
          <cell r="AM62" t="str">
            <v>ESP</v>
          </cell>
          <cell r="AN62" t="str">
            <v>good</v>
          </cell>
          <cell r="AO62" t="str">
            <v>shut in well for 1/2 HR &amp; Bled | press SICP 30 PSI &amp; SITP 15 PSI</v>
          </cell>
          <cell r="AP62" t="str">
            <v>Wellhead</v>
          </cell>
          <cell r="AQ62" t="str">
            <v>Well source folder found; digital-group classification absent</v>
          </cell>
          <cell r="AR62" t="str">
            <v>No standard-group gap identified in database</v>
          </cell>
          <cell r="AS62" t="str">
            <v>No usable 6_Prod workbook after recursive search</v>
          </cell>
          <cell r="AT62" t="str">
            <v>field+well-number; Value completion uses No digital LAS found after recursive source search; Candidate mapped to source well</v>
          </cell>
          <cell r="AU62" t="str">
            <v>No digital LAS found after recursive source search</v>
          </cell>
          <cell r="AV62">
            <v>0</v>
          </cell>
          <cell r="AW62">
            <v>0</v>
          </cell>
          <cell r="AX62">
            <v>0</v>
          </cell>
          <cell r="AY62" t="str">
            <v>Not calculable - no usable digital LAS</v>
          </cell>
          <cell r="AZ62" t="str">
            <v>Not calculable - no usable digital LAS</v>
          </cell>
          <cell r="BA62" t="str">
            <v>Not calculable - no usable digital LAS</v>
          </cell>
          <cell r="BB62" t="str">
            <v>Not calculable - no usable digital LAS</v>
          </cell>
          <cell r="BC62" t="str">
            <v>Not calculable - no usable digital LAS</v>
          </cell>
          <cell r="BD62" t="str">
            <v>Not calculable - no usable digital LAS</v>
          </cell>
          <cell r="BE62">
            <v>0</v>
          </cell>
          <cell r="BF62" t="str">
            <v>No digital LAS found after recursive source search</v>
          </cell>
          <cell r="BG62" t="str">
            <v>No usable digital LAS source</v>
          </cell>
          <cell r="BH62" t="str">
            <v>No numeric trajectory source</v>
          </cell>
          <cell r="BI62" t="str">
            <v>No numeric inclination survey</v>
          </cell>
          <cell r="BJ62" t="str">
            <v>No numeric deviation proof</v>
          </cell>
          <cell r="BK62" t="str">
            <v>No coordinate evidence in source/LAS</v>
          </cell>
          <cell r="BL62" t="str">
            <v>No coordinate evidence in source/LAS</v>
          </cell>
          <cell r="BM62" t="str">
            <v>No coordinate evidence in source/LAS</v>
          </cell>
          <cell r="BN62" t="str">
            <v>No coordinate evidence in source/LAS</v>
          </cell>
          <cell r="BO62" t="str">
            <v>No coordinate evidence after source and LAS-header search</v>
          </cell>
        </row>
        <row r="63">
          <cell r="A63" t="str">
            <v>Duri-04064</v>
          </cell>
          <cell r="B63" t="str">
            <v>DURI04064</v>
          </cell>
          <cell r="C63" t="str">
            <v>DURI</v>
          </cell>
          <cell r="D63" t="str">
            <v>Duri</v>
          </cell>
          <cell r="E63">
            <v>70</v>
          </cell>
          <cell r="F63">
            <v>70</v>
          </cell>
          <cell r="G63">
            <v>0.64926872740180996</v>
          </cell>
          <cell r="H63">
            <v>411.89210320000001</v>
          </cell>
          <cell r="I63">
            <v>39.351964636035802</v>
          </cell>
          <cell r="J63">
            <v>0.34961619875136102</v>
          </cell>
          <cell r="K63">
            <v>656</v>
          </cell>
          <cell r="L63">
            <v>0.64854671038110201</v>
          </cell>
          <cell r="M63">
            <v>147.25</v>
          </cell>
          <cell r="N63">
            <v>1.1993932052298437</v>
          </cell>
          <cell r="O63">
            <v>4682.2817048560601</v>
          </cell>
          <cell r="P63">
            <v>3630.3801971169469</v>
          </cell>
          <cell r="Q63">
            <v>0.11345701574923271</v>
          </cell>
          <cell r="R63">
            <v>726.07603942338937</v>
          </cell>
          <cell r="S63">
            <v>314.18393622338937</v>
          </cell>
          <cell r="T63">
            <v>39.351964636035802</v>
          </cell>
          <cell r="U63" t="str">
            <v>Rokan</v>
          </cell>
          <cell r="V63">
            <v>1883.117</v>
          </cell>
          <cell r="W63">
            <v>1772.68066851411</v>
          </cell>
          <cell r="X63">
            <v>1</v>
          </cell>
          <cell r="Y63">
            <v>1</v>
          </cell>
          <cell r="Z63">
            <v>0.112823478899695</v>
          </cell>
          <cell r="AA63">
            <v>0.112823478899695</v>
          </cell>
          <cell r="AB63">
            <v>3</v>
          </cell>
          <cell r="AC63">
            <v>2</v>
          </cell>
          <cell r="AD63">
            <v>4</v>
          </cell>
          <cell r="AE63">
            <v>5</v>
          </cell>
          <cell r="AF63">
            <v>5</v>
          </cell>
          <cell r="AG63">
            <v>1</v>
          </cell>
          <cell r="AH63">
            <v>3.15</v>
          </cell>
          <cell r="AI63">
            <v>0.75</v>
          </cell>
          <cell r="AJ63" t="str">
            <v>Tier 1 - validate for reactivation</v>
          </cell>
          <cell r="AK63" t="str">
            <v>SHUT IN</v>
          </cell>
          <cell r="AL63" t="str">
            <v>OPEN HOLE</v>
          </cell>
          <cell r="AM63" t="str">
            <v>ESP</v>
          </cell>
          <cell r="AN63" t="str">
            <v>good</v>
          </cell>
          <cell r="AO63" t="str">
            <v>Shut in Well Prepared Water Line and Fill up Water Tank</v>
          </cell>
          <cell r="AP63" t="str">
            <v>Wellhead</v>
          </cell>
          <cell r="AQ63" t="str">
            <v>Well source folder found; digital-group classification absent</v>
          </cell>
          <cell r="AR63" t="str">
            <v>No standard-group gap identified in database</v>
          </cell>
          <cell r="AS63" t="str">
            <v>No usable 6_Prod workbook after recursive search</v>
          </cell>
          <cell r="AT63" t="str">
            <v>field+well-number; Value completion uses Formation evaluation completed; Candidate mapped to source well</v>
          </cell>
          <cell r="AU63" t="str">
            <v>No qualifying &gt;=5 ft NZBP interval in interpreted LAS</v>
          </cell>
          <cell r="AV63">
            <v>0</v>
          </cell>
          <cell r="AW63">
            <v>0</v>
          </cell>
          <cell r="AX63">
            <v>0</v>
          </cell>
          <cell r="AY63" t="str">
            <v>No qualifying &gt;=5 ft interval</v>
          </cell>
          <cell r="AZ63" t="str">
            <v>No qualifying &gt;=5 ft interval</v>
          </cell>
          <cell r="BA63" t="str">
            <v>No qualifying &gt;=5 ft interval</v>
          </cell>
          <cell r="BB63" t="str">
            <v>No qualifying &gt;=5 ft interval</v>
          </cell>
          <cell r="BC63" t="str">
            <v>No qualifying &gt;=5 ft interval</v>
          </cell>
          <cell r="BD63" t="str">
            <v>No qualifying &gt;=5 ft interval</v>
          </cell>
          <cell r="BE63">
            <v>2</v>
          </cell>
          <cell r="BF63" t="str">
            <v>Formation evaluation completed</v>
          </cell>
          <cell r="BG63" t="str">
            <v>D:\HALLIBURTON CONSULTING\Data Nations\Zona Rokan\DURI\DURI04064\5_Well_Log_Raw\749913301_PRESS_DURI04064_24JUN2018_R1_HLS_STAT346.las</v>
          </cell>
          <cell r="BH63" t="str">
            <v>MD used as TVD; no numeric deviation survey found</v>
          </cell>
          <cell r="BI63">
            <v>0</v>
          </cell>
          <cell r="BJ63" t="str">
            <v>No numeric horizontal proof</v>
          </cell>
          <cell r="BK63">
            <v>1.3240989999999999</v>
          </cell>
          <cell r="BL63">
            <v>101.227306</v>
          </cell>
          <cell r="BM63">
            <v>747840.43936084595</v>
          </cell>
          <cell r="BN63">
            <v>146464.34410511801</v>
          </cell>
          <cell r="BO63" t="str">
            <v>WGS84 / LAS header</v>
          </cell>
        </row>
        <row r="64">
          <cell r="A64" t="str">
            <v>Duri-04072</v>
          </cell>
          <cell r="B64" t="str">
            <v>DURI04072</v>
          </cell>
          <cell r="C64" t="str">
            <v>DURI</v>
          </cell>
          <cell r="D64" t="str">
            <v>Duri</v>
          </cell>
          <cell r="E64">
            <v>20</v>
          </cell>
          <cell r="F64">
            <v>50</v>
          </cell>
          <cell r="G64">
            <v>0.64926872740180996</v>
          </cell>
          <cell r="H64">
            <v>411.89210320000001</v>
          </cell>
          <cell r="I64">
            <v>11.243418467438801</v>
          </cell>
          <cell r="J64">
            <v>0.34961619875136102</v>
          </cell>
          <cell r="K64">
            <v>656</v>
          </cell>
          <cell r="L64">
            <v>0.64854671038110201</v>
          </cell>
          <cell r="M64">
            <v>147.25</v>
          </cell>
          <cell r="N64">
            <v>1.1993932052298437</v>
          </cell>
          <cell r="O64">
            <v>4682.2817048560601</v>
          </cell>
          <cell r="P64">
            <v>3630.3801971169469</v>
          </cell>
          <cell r="Q64">
            <v>0.11345701574923271</v>
          </cell>
          <cell r="R64">
            <v>726.07603942338937</v>
          </cell>
          <cell r="S64">
            <v>314.18393622338937</v>
          </cell>
          <cell r="T64">
            <v>11.243418467438801</v>
          </cell>
          <cell r="U64" t="str">
            <v>Rokan</v>
          </cell>
          <cell r="V64">
            <v>203.077</v>
          </cell>
          <cell r="W64">
            <v>191.16744850152199</v>
          </cell>
          <cell r="X64">
            <v>1</v>
          </cell>
          <cell r="Y64">
            <v>1</v>
          </cell>
          <cell r="Z64">
            <v>0.70346293699996998</v>
          </cell>
          <cell r="AA64">
            <v>0.298915205443055</v>
          </cell>
          <cell r="AB64">
            <v>2</v>
          </cell>
          <cell r="AC64">
            <v>2</v>
          </cell>
          <cell r="AD64">
            <v>4</v>
          </cell>
          <cell r="AE64">
            <v>5</v>
          </cell>
          <cell r="AF64">
            <v>5</v>
          </cell>
          <cell r="AG64">
            <v>2</v>
          </cell>
          <cell r="AH64">
            <v>3.05</v>
          </cell>
          <cell r="AI64">
            <v>0.35</v>
          </cell>
          <cell r="AJ64" t="str">
            <v>Tier 2 - subsurface / integrity review</v>
          </cell>
          <cell r="AK64" t="str">
            <v>SHUT IN</v>
          </cell>
          <cell r="AL64" t="str">
            <v>CASED HOLE</v>
          </cell>
          <cell r="AM64" t="str">
            <v>ESP</v>
          </cell>
          <cell r="AN64" t="str">
            <v>good</v>
          </cell>
          <cell r="AO64" t="str">
            <v>Shut in well for 1 hr</v>
          </cell>
          <cell r="AP64" t="str">
            <v>Wellhead</v>
          </cell>
          <cell r="AQ64" t="str">
            <v>Well source folder found; digital-group classification absent</v>
          </cell>
          <cell r="AR64" t="str">
            <v>No standard-group gap identified in database</v>
          </cell>
          <cell r="AS64" t="str">
            <v>No usable 6_Prod workbook after recursive search</v>
          </cell>
          <cell r="AT64" t="str">
            <v>field+well-number; Value completion uses No digital LAS found after recursive source search; Candidate mapped to source well</v>
          </cell>
          <cell r="AU64" t="str">
            <v>No digital LAS found after recursive source search</v>
          </cell>
          <cell r="AV64">
            <v>0</v>
          </cell>
          <cell r="AW64">
            <v>0</v>
          </cell>
          <cell r="AX64">
            <v>0</v>
          </cell>
          <cell r="AY64" t="str">
            <v>Not calculable - no usable digital LAS</v>
          </cell>
          <cell r="AZ64" t="str">
            <v>Not calculable - no usable digital LAS</v>
          </cell>
          <cell r="BA64" t="str">
            <v>Not calculable - no usable digital LAS</v>
          </cell>
          <cell r="BB64" t="str">
            <v>Not calculable - no usable digital LAS</v>
          </cell>
          <cell r="BC64" t="str">
            <v>Not calculable - no usable digital LAS</v>
          </cell>
          <cell r="BD64" t="str">
            <v>Not calculable - no usable digital LAS</v>
          </cell>
          <cell r="BE64">
            <v>0</v>
          </cell>
          <cell r="BF64" t="str">
            <v>No digital LAS found after recursive source search</v>
          </cell>
          <cell r="BG64" t="str">
            <v>No usable digital LAS source</v>
          </cell>
          <cell r="BH64" t="str">
            <v>No numeric trajectory source</v>
          </cell>
          <cell r="BI64" t="str">
            <v>No numeric inclination survey</v>
          </cell>
          <cell r="BJ64" t="str">
            <v>No numeric deviation proof</v>
          </cell>
          <cell r="BK64" t="str">
            <v>No coordinate evidence in source/LAS</v>
          </cell>
          <cell r="BL64" t="str">
            <v>No coordinate evidence in source/LAS</v>
          </cell>
          <cell r="BM64" t="str">
            <v>No coordinate evidence in source/LAS</v>
          </cell>
          <cell r="BN64" t="str">
            <v>No coordinate evidence in source/LAS</v>
          </cell>
          <cell r="BO64" t="str">
            <v>No coordinate evidence after source and LAS-header search</v>
          </cell>
        </row>
        <row r="65">
          <cell r="A65" t="str">
            <v>Duri-04080</v>
          </cell>
          <cell r="B65" t="str">
            <v>DURI04080</v>
          </cell>
          <cell r="C65" t="str">
            <v>DURI</v>
          </cell>
          <cell r="D65" t="str">
            <v>Duri</v>
          </cell>
          <cell r="E65">
            <v>8</v>
          </cell>
          <cell r="F65">
            <v>37</v>
          </cell>
          <cell r="G65">
            <v>0.64926872740180996</v>
          </cell>
          <cell r="H65">
            <v>411.89210320000001</v>
          </cell>
          <cell r="I65">
            <v>4.4973673869755197</v>
          </cell>
          <cell r="J65">
            <v>0.34961619875136102</v>
          </cell>
          <cell r="K65">
            <v>656</v>
          </cell>
          <cell r="L65">
            <v>0.64854671038110201</v>
          </cell>
          <cell r="M65">
            <v>147.25</v>
          </cell>
          <cell r="N65">
            <v>1.1993932052298437</v>
          </cell>
          <cell r="O65">
            <v>4682.2817048560601</v>
          </cell>
          <cell r="P65">
            <v>3630.3801971169469</v>
          </cell>
          <cell r="Q65">
            <v>0.11345701574923271</v>
          </cell>
          <cell r="R65">
            <v>726.07603942338937</v>
          </cell>
          <cell r="S65">
            <v>314.18393622338937</v>
          </cell>
          <cell r="T65">
            <v>4.4973673869755197</v>
          </cell>
          <cell r="U65" t="str">
            <v>Rokan</v>
          </cell>
          <cell r="V65">
            <v>192.685</v>
          </cell>
          <cell r="W65">
            <v>181.384892501444</v>
          </cell>
          <cell r="X65">
            <v>1</v>
          </cell>
          <cell r="Y65">
            <v>1</v>
          </cell>
          <cell r="Z65">
            <v>0.54863785823642597</v>
          </cell>
          <cell r="AA65">
            <v>0.126014589980039</v>
          </cell>
          <cell r="AB65">
            <v>1</v>
          </cell>
          <cell r="AC65">
            <v>1</v>
          </cell>
          <cell r="AD65">
            <v>4</v>
          </cell>
          <cell r="AE65">
            <v>5</v>
          </cell>
          <cell r="AF65">
            <v>5</v>
          </cell>
          <cell r="AG65">
            <v>1</v>
          </cell>
          <cell r="AH65">
            <v>2.4</v>
          </cell>
          <cell r="AI65">
            <v>0.35</v>
          </cell>
          <cell r="AJ65" t="str">
            <v>Tier 3 - acquire / validate critical data</v>
          </cell>
          <cell r="AK65" t="str">
            <v>SHUT IN</v>
          </cell>
          <cell r="AL65" t="str">
            <v>OPEN HOLE</v>
          </cell>
          <cell r="AM65" t="str">
            <v>ESP</v>
          </cell>
          <cell r="AN65" t="str">
            <v>GOOD</v>
          </cell>
          <cell r="AO65" t="str">
            <v>SHUT IN WELL</v>
          </cell>
          <cell r="AP65" t="str">
            <v>Wellhead</v>
          </cell>
          <cell r="AQ65" t="str">
            <v>Well source folder found; digital-group classification absent</v>
          </cell>
          <cell r="AR65" t="str">
            <v>No standard-group gap identified in database</v>
          </cell>
          <cell r="AS65" t="str">
            <v>No usable 6_Prod workbook after recursive search</v>
          </cell>
          <cell r="AT65" t="str">
            <v>field+well-number; Value completion uses No digital LAS found after recursive source search; Candidate mapped to source well</v>
          </cell>
          <cell r="AU65" t="str">
            <v>No digital LAS found after recursive source search</v>
          </cell>
          <cell r="AV65">
            <v>0</v>
          </cell>
          <cell r="AW65">
            <v>0</v>
          </cell>
          <cell r="AX65">
            <v>0</v>
          </cell>
          <cell r="AY65" t="str">
            <v>Not calculable - no usable digital LAS</v>
          </cell>
          <cell r="AZ65" t="str">
            <v>Not calculable - no usable digital LAS</v>
          </cell>
          <cell r="BA65" t="str">
            <v>Not calculable - no usable digital LAS</v>
          </cell>
          <cell r="BB65" t="str">
            <v>Not calculable - no usable digital LAS</v>
          </cell>
          <cell r="BC65" t="str">
            <v>Not calculable - no usable digital LAS</v>
          </cell>
          <cell r="BD65" t="str">
            <v>Not calculable - no usable digital LAS</v>
          </cell>
          <cell r="BE65">
            <v>0</v>
          </cell>
          <cell r="BF65" t="str">
            <v>No digital LAS found after recursive source search</v>
          </cell>
          <cell r="BG65" t="str">
            <v>No usable digital LAS source</v>
          </cell>
          <cell r="BH65" t="str">
            <v>No numeric trajectory source</v>
          </cell>
          <cell r="BI65" t="str">
            <v>No numeric inclination survey</v>
          </cell>
          <cell r="BJ65" t="str">
            <v>No numeric deviation proof</v>
          </cell>
          <cell r="BK65" t="str">
            <v>No coordinate evidence in source/LAS</v>
          </cell>
          <cell r="BL65" t="str">
            <v>No coordinate evidence in source/LAS</v>
          </cell>
          <cell r="BM65" t="str">
            <v>No coordinate evidence in source/LAS</v>
          </cell>
          <cell r="BN65" t="str">
            <v>No coordinate evidence in source/LAS</v>
          </cell>
          <cell r="BO65" t="str">
            <v>No coordinate evidence after source and LAS-header search</v>
          </cell>
        </row>
        <row r="66">
          <cell r="A66" t="str">
            <v>Duri-04082</v>
          </cell>
          <cell r="B66" t="str">
            <v>DURI04082</v>
          </cell>
          <cell r="C66" t="str">
            <v>DURI</v>
          </cell>
          <cell r="D66" t="str">
            <v>Duri</v>
          </cell>
          <cell r="E66">
            <v>8</v>
          </cell>
          <cell r="F66">
            <v>55.71</v>
          </cell>
          <cell r="G66">
            <v>0.64926872740180996</v>
          </cell>
          <cell r="H66">
            <v>411.89210320000001</v>
          </cell>
          <cell r="I66">
            <v>4.4973673869755197</v>
          </cell>
          <cell r="J66">
            <v>0.34961619875136102</v>
          </cell>
          <cell r="K66">
            <v>656</v>
          </cell>
          <cell r="L66">
            <v>0.64854671038110201</v>
          </cell>
          <cell r="M66">
            <v>147.25</v>
          </cell>
          <cell r="N66">
            <v>1.1993932052298437</v>
          </cell>
          <cell r="O66">
            <v>4682.2817048560601</v>
          </cell>
          <cell r="P66">
            <v>3630.3801971169469</v>
          </cell>
          <cell r="Q66">
            <v>0.11345701574923271</v>
          </cell>
          <cell r="R66">
            <v>726.07603942338937</v>
          </cell>
          <cell r="S66">
            <v>314.18393622338937</v>
          </cell>
          <cell r="T66">
            <v>4.4973673869755197</v>
          </cell>
          <cell r="U66" t="str">
            <v>Rokan</v>
          </cell>
          <cell r="V66">
            <v>185.32400000000001</v>
          </cell>
          <cell r="W66">
            <v>174.45558200138899</v>
          </cell>
          <cell r="X66">
            <v>1</v>
          </cell>
          <cell r="Y66">
            <v>1</v>
          </cell>
          <cell r="Z66">
            <v>0.85888189641616097</v>
          </cell>
          <cell r="AA66">
            <v>0.13101984238578801</v>
          </cell>
          <cell r="AB66">
            <v>1</v>
          </cell>
          <cell r="AC66">
            <v>1</v>
          </cell>
          <cell r="AD66">
            <v>4</v>
          </cell>
          <cell r="AE66">
            <v>5</v>
          </cell>
          <cell r="AF66">
            <v>5</v>
          </cell>
          <cell r="AG66">
            <v>1</v>
          </cell>
          <cell r="AH66">
            <v>2.4</v>
          </cell>
          <cell r="AI66">
            <v>0.35</v>
          </cell>
          <cell r="AJ66" t="str">
            <v>Tier 3 - acquire / validate critical data</v>
          </cell>
          <cell r="AK66" t="str">
            <v>SUSPENDED</v>
          </cell>
          <cell r="AL66" t="str">
            <v>OPEN HOLE</v>
          </cell>
          <cell r="AM66" t="str">
            <v>ESP</v>
          </cell>
          <cell r="AN66" t="str">
            <v>good</v>
          </cell>
          <cell r="AO66" t="str">
            <v>SHUT IN WELL</v>
          </cell>
          <cell r="AP66" t="str">
            <v>Wellhead</v>
          </cell>
          <cell r="AQ66" t="str">
            <v>Well source folder found; digital-group classification absent</v>
          </cell>
          <cell r="AR66" t="str">
            <v>No standard-group gap identified in database</v>
          </cell>
          <cell r="AS66" t="str">
            <v>No usable 6_Prod workbook after recursive search</v>
          </cell>
          <cell r="AT66" t="str">
            <v>field+well-number; Value completion uses No digital LAS found after recursive source search; Candidate mapped to source well</v>
          </cell>
          <cell r="AU66" t="str">
            <v>No digital LAS found after recursive source search</v>
          </cell>
          <cell r="AV66">
            <v>0</v>
          </cell>
          <cell r="AW66">
            <v>0</v>
          </cell>
          <cell r="AX66">
            <v>0</v>
          </cell>
          <cell r="AY66" t="str">
            <v>Not calculable - no usable digital LAS</v>
          </cell>
          <cell r="AZ66" t="str">
            <v>Not calculable - no usable digital LAS</v>
          </cell>
          <cell r="BA66" t="str">
            <v>Not calculable - no usable digital LAS</v>
          </cell>
          <cell r="BB66" t="str">
            <v>Not calculable - no usable digital LAS</v>
          </cell>
          <cell r="BC66" t="str">
            <v>Not calculable - no usable digital LAS</v>
          </cell>
          <cell r="BD66" t="str">
            <v>Not calculable - no usable digital LAS</v>
          </cell>
          <cell r="BE66">
            <v>0</v>
          </cell>
          <cell r="BF66" t="str">
            <v>No digital LAS found after recursive source search</v>
          </cell>
          <cell r="BG66" t="str">
            <v>No usable digital LAS source</v>
          </cell>
          <cell r="BH66" t="str">
            <v>No numeric trajectory source</v>
          </cell>
          <cell r="BI66" t="str">
            <v>No numeric inclination survey</v>
          </cell>
          <cell r="BJ66" t="str">
            <v>No numeric deviation proof</v>
          </cell>
          <cell r="BK66" t="str">
            <v>No coordinate evidence in source/LAS</v>
          </cell>
          <cell r="BL66" t="str">
            <v>No coordinate evidence in source/LAS</v>
          </cell>
          <cell r="BM66" t="str">
            <v>No coordinate evidence in source/LAS</v>
          </cell>
          <cell r="BN66" t="str">
            <v>No coordinate evidence in source/LAS</v>
          </cell>
          <cell r="BO66" t="str">
            <v>No coordinate evidence after source and LAS-header search</v>
          </cell>
        </row>
        <row r="67">
          <cell r="A67" t="str">
            <v>Duri-04084</v>
          </cell>
          <cell r="B67" t="str">
            <v>DURI04084</v>
          </cell>
          <cell r="C67" t="str">
            <v>DURI</v>
          </cell>
          <cell r="D67" t="str">
            <v>Duri</v>
          </cell>
          <cell r="E67">
            <v>0</v>
          </cell>
          <cell r="F67">
            <v>0</v>
          </cell>
          <cell r="G67">
            <v>0.64926872740180996</v>
          </cell>
          <cell r="H67">
            <v>411.89210320000001</v>
          </cell>
          <cell r="I67">
            <v>0</v>
          </cell>
          <cell r="J67">
            <v>0.34961619875136102</v>
          </cell>
          <cell r="K67">
            <v>656</v>
          </cell>
          <cell r="L67">
            <v>0.64854671038110201</v>
          </cell>
          <cell r="M67">
            <v>147.25</v>
          </cell>
          <cell r="N67">
            <v>1.1993932052298437</v>
          </cell>
          <cell r="O67">
            <v>4682.2817048560601</v>
          </cell>
          <cell r="P67">
            <v>3630.3801971169469</v>
          </cell>
          <cell r="Q67">
            <v>0.11345701574923271</v>
          </cell>
          <cell r="R67">
            <v>726.07603942338937</v>
          </cell>
          <cell r="S67">
            <v>314.18393622338937</v>
          </cell>
          <cell r="T67">
            <v>0.01</v>
          </cell>
          <cell r="U67" t="str">
            <v>Rokan</v>
          </cell>
          <cell r="V67">
            <v>238.15</v>
          </cell>
          <cell r="W67">
            <v>224.18357500178499</v>
          </cell>
          <cell r="X67">
            <v>1</v>
          </cell>
          <cell r="Y67">
            <v>1</v>
          </cell>
          <cell r="Z67">
            <v>0.5</v>
          </cell>
          <cell r="AA67">
            <v>0.5</v>
          </cell>
          <cell r="AB67">
            <v>1</v>
          </cell>
          <cell r="AC67">
            <v>1</v>
          </cell>
          <cell r="AD67">
            <v>4</v>
          </cell>
          <cell r="AE67">
            <v>5</v>
          </cell>
          <cell r="AF67">
            <v>5</v>
          </cell>
          <cell r="AG67">
            <v>3</v>
          </cell>
          <cell r="AH67">
            <v>2.7</v>
          </cell>
          <cell r="AI67">
            <v>0.35</v>
          </cell>
          <cell r="AJ67" t="str">
            <v>Tier 2 - subsurface / integrity review</v>
          </cell>
          <cell r="AK67" t="str">
            <v>SHUT IN</v>
          </cell>
          <cell r="AL67" t="str">
            <v>OPEN HOLE</v>
          </cell>
          <cell r="AM67" t="str">
            <v>ESP</v>
          </cell>
          <cell r="AN67" t="str">
            <v>good</v>
          </cell>
          <cell r="AO67" t="str">
            <v>SHUT IN WELL</v>
          </cell>
          <cell r="AP67" t="str">
            <v>Wellhead</v>
          </cell>
          <cell r="AQ67" t="str">
            <v>Well source folder found; digital-group classification absent</v>
          </cell>
          <cell r="AR67" t="str">
            <v>No standard-group gap identified in database</v>
          </cell>
          <cell r="AS67" t="str">
            <v>No usable 6_Prod workbook after recursive search</v>
          </cell>
          <cell r="AT67" t="str">
            <v>field+well-number; Value completion uses No digital LAS found after recursive source search; Candidate mapped to source well</v>
          </cell>
          <cell r="AU67" t="str">
            <v>No digital LAS found after recursive source search</v>
          </cell>
          <cell r="AV67">
            <v>0</v>
          </cell>
          <cell r="AW67">
            <v>0</v>
          </cell>
          <cell r="AX67">
            <v>0</v>
          </cell>
          <cell r="AY67" t="str">
            <v>Not calculable - no usable digital LAS</v>
          </cell>
          <cell r="AZ67" t="str">
            <v>Not calculable - no usable digital LAS</v>
          </cell>
          <cell r="BA67" t="str">
            <v>Not calculable - no usable digital LAS</v>
          </cell>
          <cell r="BB67" t="str">
            <v>Not calculable - no usable digital LAS</v>
          </cell>
          <cell r="BC67" t="str">
            <v>Not calculable - no usable digital LAS</v>
          </cell>
          <cell r="BD67" t="str">
            <v>Not calculable - no usable digital LAS</v>
          </cell>
          <cell r="BE67">
            <v>0</v>
          </cell>
          <cell r="BF67" t="str">
            <v>No digital LAS found after recursive source search</v>
          </cell>
          <cell r="BG67" t="str">
            <v>No usable digital LAS source</v>
          </cell>
          <cell r="BH67" t="str">
            <v>No numeric trajectory source</v>
          </cell>
          <cell r="BI67" t="str">
            <v>No numeric inclination survey</v>
          </cell>
          <cell r="BJ67" t="str">
            <v>No numeric deviation proof</v>
          </cell>
          <cell r="BK67" t="str">
            <v>No coordinate evidence in source/LAS</v>
          </cell>
          <cell r="BL67" t="str">
            <v>No coordinate evidence in source/LAS</v>
          </cell>
          <cell r="BM67" t="str">
            <v>No coordinate evidence in source/LAS</v>
          </cell>
          <cell r="BN67" t="str">
            <v>No coordinate evidence in source/LAS</v>
          </cell>
          <cell r="BO67" t="str">
            <v>No coordinate evidence after source and LAS-header search</v>
          </cell>
        </row>
        <row r="68">
          <cell r="A68" t="str">
            <v>Duri-04091</v>
          </cell>
          <cell r="B68" t="str">
            <v>DURI04091</v>
          </cell>
          <cell r="C68" t="str">
            <v>DURI</v>
          </cell>
          <cell r="D68" t="str">
            <v>Duri</v>
          </cell>
          <cell r="E68">
            <v>20</v>
          </cell>
          <cell r="F68">
            <v>37</v>
          </cell>
          <cell r="G68">
            <v>0.64926872740180996</v>
          </cell>
          <cell r="H68">
            <v>411.89210320000001</v>
          </cell>
          <cell r="I68">
            <v>11.243418467438801</v>
          </cell>
          <cell r="J68">
            <v>0.34961619875136102</v>
          </cell>
          <cell r="K68">
            <v>656</v>
          </cell>
          <cell r="L68">
            <v>0.64854671038110201</v>
          </cell>
          <cell r="M68">
            <v>147.25</v>
          </cell>
          <cell r="N68">
            <v>1.1993932052298437</v>
          </cell>
          <cell r="O68">
            <v>4682.2817048560601</v>
          </cell>
          <cell r="P68">
            <v>3630.3801971169469</v>
          </cell>
          <cell r="Q68">
            <v>0.11345701574923271</v>
          </cell>
          <cell r="R68">
            <v>726.07603942338937</v>
          </cell>
          <cell r="S68">
            <v>314.18393622338937</v>
          </cell>
          <cell r="T68">
            <v>11.243418467438801</v>
          </cell>
          <cell r="U68" t="str">
            <v>Rokan</v>
          </cell>
          <cell r="V68">
            <v>204.809</v>
          </cell>
          <cell r="W68">
            <v>192.79787450153501</v>
          </cell>
          <cell r="X68">
            <v>1</v>
          </cell>
          <cell r="Y68">
            <v>1</v>
          </cell>
          <cell r="Z68">
            <v>0.51616035288627804</v>
          </cell>
          <cell r="AA68">
            <v>0.29638738129554498</v>
          </cell>
          <cell r="AB68">
            <v>2</v>
          </cell>
          <cell r="AC68">
            <v>2</v>
          </cell>
          <cell r="AD68">
            <v>4</v>
          </cell>
          <cell r="AE68">
            <v>5</v>
          </cell>
          <cell r="AF68">
            <v>5</v>
          </cell>
          <cell r="AG68">
            <v>2</v>
          </cell>
          <cell r="AH68">
            <v>3.05</v>
          </cell>
          <cell r="AI68">
            <v>0.35</v>
          </cell>
          <cell r="AJ68" t="str">
            <v>Tier 2 - subsurface / integrity review</v>
          </cell>
          <cell r="AK68" t="str">
            <v>SHUT IN</v>
          </cell>
          <cell r="AL68" t="str">
            <v>OPEN HOLE</v>
          </cell>
          <cell r="AM68" t="str">
            <v>ESP</v>
          </cell>
          <cell r="AN68" t="str">
            <v>GOOD</v>
          </cell>
          <cell r="AO68" t="str">
            <v>Shut in well and Set sqr tank + FB tank</v>
          </cell>
          <cell r="AP68" t="str">
            <v>Wellhead</v>
          </cell>
          <cell r="AQ68" t="str">
            <v>Well source folder found; digital-group classification absent</v>
          </cell>
          <cell r="AR68" t="str">
            <v>No standard-group gap identified in database</v>
          </cell>
          <cell r="AS68" t="str">
            <v>No usable 6_Prod workbook after recursive search</v>
          </cell>
          <cell r="AT68" t="str">
            <v>field+well-number; Value completion uses No digital LAS found after recursive source search; Candidate mapped to source well</v>
          </cell>
          <cell r="AU68" t="str">
            <v>No digital LAS found after recursive source search</v>
          </cell>
          <cell r="AV68">
            <v>0</v>
          </cell>
          <cell r="AW68">
            <v>0</v>
          </cell>
          <cell r="AX68">
            <v>0</v>
          </cell>
          <cell r="AY68" t="str">
            <v>Not calculable - no usable digital LAS</v>
          </cell>
          <cell r="AZ68" t="str">
            <v>Not calculable - no usable digital LAS</v>
          </cell>
          <cell r="BA68" t="str">
            <v>Not calculable - no usable digital LAS</v>
          </cell>
          <cell r="BB68" t="str">
            <v>Not calculable - no usable digital LAS</v>
          </cell>
          <cell r="BC68" t="str">
            <v>Not calculable - no usable digital LAS</v>
          </cell>
          <cell r="BD68" t="str">
            <v>Not calculable - no usable digital LAS</v>
          </cell>
          <cell r="BE68">
            <v>0</v>
          </cell>
          <cell r="BF68" t="str">
            <v>No digital LAS found after recursive source search</v>
          </cell>
          <cell r="BG68" t="str">
            <v>No usable digital LAS source</v>
          </cell>
          <cell r="BH68" t="str">
            <v>No numeric trajectory source</v>
          </cell>
          <cell r="BI68" t="str">
            <v>No numeric inclination survey</v>
          </cell>
          <cell r="BJ68" t="str">
            <v>No numeric deviation proof</v>
          </cell>
          <cell r="BK68" t="str">
            <v>No coordinate evidence in source/LAS</v>
          </cell>
          <cell r="BL68" t="str">
            <v>No coordinate evidence in source/LAS</v>
          </cell>
          <cell r="BM68" t="str">
            <v>No coordinate evidence in source/LAS</v>
          </cell>
          <cell r="BN68" t="str">
            <v>No coordinate evidence in source/LAS</v>
          </cell>
          <cell r="BO68" t="str">
            <v>No coordinate evidence after source and LAS-header search</v>
          </cell>
        </row>
        <row r="69">
          <cell r="A69" t="str">
            <v>Duri-04133</v>
          </cell>
          <cell r="B69" t="str">
            <v>DURI04133</v>
          </cell>
          <cell r="C69" t="str">
            <v>DURI</v>
          </cell>
          <cell r="D69" t="str">
            <v>Duri</v>
          </cell>
          <cell r="E69">
            <v>20</v>
          </cell>
          <cell r="F69">
            <v>84</v>
          </cell>
          <cell r="G69">
            <v>0.64926872740180996</v>
          </cell>
          <cell r="H69">
            <v>411.89210320000001</v>
          </cell>
          <cell r="I69">
            <v>11.243418467438801</v>
          </cell>
          <cell r="J69">
            <v>0.34961619875136102</v>
          </cell>
          <cell r="K69">
            <v>656</v>
          </cell>
          <cell r="L69">
            <v>0.64854671038110201</v>
          </cell>
          <cell r="M69">
            <v>147.25</v>
          </cell>
          <cell r="N69">
            <v>1.1993932052298437</v>
          </cell>
          <cell r="O69">
            <v>4682.2817048560601</v>
          </cell>
          <cell r="P69">
            <v>3630.3801971169469</v>
          </cell>
          <cell r="Q69">
            <v>0.11345701574923271</v>
          </cell>
          <cell r="R69">
            <v>726.07603942338937</v>
          </cell>
          <cell r="S69">
            <v>314.18393622338937</v>
          </cell>
          <cell r="T69">
            <v>11.243418467438801</v>
          </cell>
          <cell r="U69" t="str">
            <v>Rokan</v>
          </cell>
          <cell r="V69">
            <v>1275.6179999999999</v>
          </cell>
          <cell r="W69">
            <v>1200.80874900956</v>
          </cell>
          <cell r="X69">
            <v>1</v>
          </cell>
          <cell r="Y69">
            <v>1</v>
          </cell>
          <cell r="Z69">
            <v>0.18814409956585801</v>
          </cell>
          <cell r="AA69">
            <v>4.7586976019277999E-2</v>
          </cell>
          <cell r="AB69">
            <v>2</v>
          </cell>
          <cell r="AC69">
            <v>2</v>
          </cell>
          <cell r="AD69">
            <v>4</v>
          </cell>
          <cell r="AE69">
            <v>5</v>
          </cell>
          <cell r="AF69">
            <v>5</v>
          </cell>
          <cell r="AG69">
            <v>1</v>
          </cell>
          <cell r="AH69">
            <v>2.9</v>
          </cell>
          <cell r="AI69">
            <v>0.35</v>
          </cell>
          <cell r="AJ69" t="str">
            <v>Tier 2 - subsurface / integrity review</v>
          </cell>
          <cell r="AK69" t="str">
            <v>SHUT IN</v>
          </cell>
          <cell r="AL69" t="str">
            <v>OPEN HOLE</v>
          </cell>
          <cell r="AM69" t="str">
            <v>ESP</v>
          </cell>
          <cell r="AN69" t="str">
            <v>suspect</v>
          </cell>
          <cell r="AO69" t="str">
            <v>SHUT IN WELL RIU CTU+PT BJ</v>
          </cell>
          <cell r="AP69" t="str">
            <v>Wellhead</v>
          </cell>
          <cell r="AQ69" t="str">
            <v>Well source folder found; digital-group classification absent</v>
          </cell>
          <cell r="AR69" t="str">
            <v>No standard-group gap identified in database</v>
          </cell>
          <cell r="AS69" t="str">
            <v>No usable 6_Prod workbook after recursive search</v>
          </cell>
          <cell r="AT69" t="str">
            <v>field+well-number; Value completion uses No digital LAS found after recursive source search; Candidate mapped to source well</v>
          </cell>
          <cell r="AU69" t="str">
            <v>No digital LAS found after recursive source search</v>
          </cell>
          <cell r="AV69">
            <v>0</v>
          </cell>
          <cell r="AW69">
            <v>0</v>
          </cell>
          <cell r="AX69">
            <v>0</v>
          </cell>
          <cell r="AY69" t="str">
            <v>Not calculable - no usable digital LAS</v>
          </cell>
          <cell r="AZ69" t="str">
            <v>Not calculable - no usable digital LAS</v>
          </cell>
          <cell r="BA69" t="str">
            <v>Not calculable - no usable digital LAS</v>
          </cell>
          <cell r="BB69" t="str">
            <v>Not calculable - no usable digital LAS</v>
          </cell>
          <cell r="BC69" t="str">
            <v>Not calculable - no usable digital LAS</v>
          </cell>
          <cell r="BD69" t="str">
            <v>Not calculable - no usable digital LAS</v>
          </cell>
          <cell r="BE69">
            <v>0</v>
          </cell>
          <cell r="BF69" t="str">
            <v>No digital LAS found after recursive source search</v>
          </cell>
          <cell r="BG69" t="str">
            <v>No usable digital LAS source</v>
          </cell>
          <cell r="BH69" t="str">
            <v>No numeric trajectory source</v>
          </cell>
          <cell r="BI69" t="str">
            <v>No numeric inclination survey</v>
          </cell>
          <cell r="BJ69" t="str">
            <v>No numeric deviation proof</v>
          </cell>
          <cell r="BK69" t="str">
            <v>No coordinate evidence in source/LAS</v>
          </cell>
          <cell r="BL69" t="str">
            <v>No coordinate evidence in source/LAS</v>
          </cell>
          <cell r="BM69" t="str">
            <v>No coordinate evidence in source/LAS</v>
          </cell>
          <cell r="BN69" t="str">
            <v>No coordinate evidence in source/LAS</v>
          </cell>
          <cell r="BO69" t="str">
            <v>No coordinate evidence after source and LAS-header search</v>
          </cell>
        </row>
        <row r="70">
          <cell r="A70" t="str">
            <v>Duri-04136</v>
          </cell>
          <cell r="B70" t="str">
            <v>DURI04136</v>
          </cell>
          <cell r="C70" t="str">
            <v>DURI</v>
          </cell>
          <cell r="D70" t="str">
            <v>Duri</v>
          </cell>
          <cell r="E70">
            <v>100</v>
          </cell>
          <cell r="F70">
            <v>100</v>
          </cell>
          <cell r="G70">
            <v>0.64926872740180996</v>
          </cell>
          <cell r="H70">
            <v>411.89210320000001</v>
          </cell>
          <cell r="I70">
            <v>56.217092337194003</v>
          </cell>
          <cell r="J70">
            <v>0.34961619875136102</v>
          </cell>
          <cell r="K70">
            <v>656</v>
          </cell>
          <cell r="L70">
            <v>0.64854671038110201</v>
          </cell>
          <cell r="M70">
            <v>147.25</v>
          </cell>
          <cell r="N70">
            <v>1.1993932052298437</v>
          </cell>
          <cell r="O70">
            <v>4682.2817048560601</v>
          </cell>
          <cell r="P70">
            <v>3630.3801971169469</v>
          </cell>
          <cell r="Q70">
            <v>0.11345701574923271</v>
          </cell>
          <cell r="R70">
            <v>726.07603942338937</v>
          </cell>
          <cell r="S70">
            <v>314.18393622338937</v>
          </cell>
          <cell r="T70">
            <v>56.217092337194003</v>
          </cell>
          <cell r="U70" t="str">
            <v>Rokan</v>
          </cell>
          <cell r="V70">
            <v>231.22200000000001</v>
          </cell>
          <cell r="W70">
            <v>217.661871001733</v>
          </cell>
          <cell r="X70">
            <v>1</v>
          </cell>
          <cell r="Y70">
            <v>1</v>
          </cell>
          <cell r="Z70">
            <v>1.3126519789587301</v>
          </cell>
          <cell r="AA70">
            <v>1.3126519789587301</v>
          </cell>
          <cell r="AB70">
            <v>3</v>
          </cell>
          <cell r="AC70">
            <v>3</v>
          </cell>
          <cell r="AD70">
            <v>4</v>
          </cell>
          <cell r="AE70">
            <v>5</v>
          </cell>
          <cell r="AF70">
            <v>5</v>
          </cell>
          <cell r="AG70">
            <v>4</v>
          </cell>
          <cell r="AH70">
            <v>3.85</v>
          </cell>
          <cell r="AI70">
            <v>0.35</v>
          </cell>
          <cell r="AJ70" t="str">
            <v>Tier 2 - subsurface / integrity review</v>
          </cell>
          <cell r="AK70" t="str">
            <v>SHUT IN</v>
          </cell>
          <cell r="AL70" t="str">
            <v>OPEN HOLE</v>
          </cell>
          <cell r="AM70" t="str">
            <v>ESP</v>
          </cell>
          <cell r="AN70" t="str">
            <v>suspect</v>
          </cell>
          <cell r="AO70" t="str">
            <v>SHUT IN WELL -SPOTIED AND R/U HALLCO CTU AND PUMP TRUCK</v>
          </cell>
          <cell r="AP70" t="str">
            <v>Yes</v>
          </cell>
          <cell r="AQ70" t="str">
            <v>Well source folder found; digital-group classification absent</v>
          </cell>
          <cell r="AR70" t="str">
            <v>No standard-group gap identified in database</v>
          </cell>
          <cell r="AS70" t="str">
            <v>No usable 6_Prod workbook after recursive search</v>
          </cell>
          <cell r="AT70" t="str">
            <v>field+well-number; Value completion uses No digital LAS found after recursive source search; Candidate mapped to source well</v>
          </cell>
          <cell r="AU70" t="str">
            <v>No digital LAS found after recursive source search</v>
          </cell>
          <cell r="AV70">
            <v>0</v>
          </cell>
          <cell r="AW70">
            <v>0</v>
          </cell>
          <cell r="AX70">
            <v>0</v>
          </cell>
          <cell r="AY70" t="str">
            <v>Not calculable - no usable digital LAS</v>
          </cell>
          <cell r="AZ70" t="str">
            <v>Not calculable - no usable digital LAS</v>
          </cell>
          <cell r="BA70" t="str">
            <v>Not calculable - no usable digital LAS</v>
          </cell>
          <cell r="BB70" t="str">
            <v>Not calculable - no usable digital LAS</v>
          </cell>
          <cell r="BC70" t="str">
            <v>Not calculable - no usable digital LAS</v>
          </cell>
          <cell r="BD70" t="str">
            <v>Not calculable - no usable digital LAS</v>
          </cell>
          <cell r="BE70">
            <v>0</v>
          </cell>
          <cell r="BF70" t="str">
            <v>No digital LAS found after recursive source search</v>
          </cell>
          <cell r="BG70" t="str">
            <v>No usable digital LAS source</v>
          </cell>
          <cell r="BH70" t="str">
            <v>No numeric trajectory source</v>
          </cell>
          <cell r="BI70" t="str">
            <v>No numeric inclination survey</v>
          </cell>
          <cell r="BJ70" t="str">
            <v>No numeric deviation proof</v>
          </cell>
          <cell r="BK70" t="str">
            <v>No coordinate evidence in source/LAS</v>
          </cell>
          <cell r="BL70" t="str">
            <v>No coordinate evidence in source/LAS</v>
          </cell>
          <cell r="BM70" t="str">
            <v>No coordinate evidence in source/LAS</v>
          </cell>
          <cell r="BN70" t="str">
            <v>No coordinate evidence in source/LAS</v>
          </cell>
          <cell r="BO70" t="str">
            <v>No coordinate evidence after source and LAS-header search</v>
          </cell>
        </row>
        <row r="71">
          <cell r="A71" t="str">
            <v>Duri-04185</v>
          </cell>
          <cell r="B71" t="str">
            <v>DURI04185</v>
          </cell>
          <cell r="C71" t="str">
            <v>DURI</v>
          </cell>
          <cell r="D71" t="str">
            <v>Duri</v>
          </cell>
          <cell r="E71">
            <v>20</v>
          </cell>
          <cell r="F71">
            <v>37</v>
          </cell>
          <cell r="G71">
            <v>0.64926872740180996</v>
          </cell>
          <cell r="H71">
            <v>411.89210320000001</v>
          </cell>
          <cell r="I71">
            <v>11.243418467438801</v>
          </cell>
          <cell r="J71">
            <v>0.34961619875136102</v>
          </cell>
          <cell r="K71">
            <v>656</v>
          </cell>
          <cell r="L71">
            <v>0.64854671038110201</v>
          </cell>
          <cell r="M71">
            <v>147.25</v>
          </cell>
          <cell r="N71">
            <v>1.1993932052298437</v>
          </cell>
          <cell r="O71">
            <v>4682.2817048560601</v>
          </cell>
          <cell r="P71">
            <v>3630.3801971169469</v>
          </cell>
          <cell r="Q71">
            <v>0.11345701574923271</v>
          </cell>
          <cell r="R71">
            <v>726.07603942338937</v>
          </cell>
          <cell r="S71">
            <v>314.18393622338937</v>
          </cell>
          <cell r="T71">
            <v>11.243418467438801</v>
          </cell>
          <cell r="U71" t="str">
            <v>Rokan</v>
          </cell>
          <cell r="V71">
            <v>184.89099999999999</v>
          </cell>
          <cell r="W71">
            <v>174.04797550138599</v>
          </cell>
          <cell r="X71">
            <v>1</v>
          </cell>
          <cell r="Y71">
            <v>1</v>
          </cell>
          <cell r="Z71">
            <v>0.57176544945013896</v>
          </cell>
          <cell r="AA71">
            <v>0.328316701060405</v>
          </cell>
          <cell r="AB71">
            <v>2</v>
          </cell>
          <cell r="AC71">
            <v>2</v>
          </cell>
          <cell r="AD71">
            <v>4</v>
          </cell>
          <cell r="AE71">
            <v>5</v>
          </cell>
          <cell r="AF71">
            <v>5</v>
          </cell>
          <cell r="AG71">
            <v>2</v>
          </cell>
          <cell r="AH71">
            <v>3.05</v>
          </cell>
          <cell r="AI71">
            <v>0.35</v>
          </cell>
          <cell r="AJ71" t="str">
            <v>Tier 2 - subsurface / integrity review</v>
          </cell>
          <cell r="AK71" t="str">
            <v>SHUT IN</v>
          </cell>
          <cell r="AL71" t="str">
            <v>CASED HOLE</v>
          </cell>
          <cell r="AM71" t="str">
            <v>ESP</v>
          </cell>
          <cell r="AN71" t="str">
            <v>good</v>
          </cell>
          <cell r="AO71" t="str">
            <v>SHUT IN WELL</v>
          </cell>
          <cell r="AP71" t="str">
            <v>Wellhead</v>
          </cell>
          <cell r="AQ71" t="str">
            <v>Well source folder found; digital-group classification absent</v>
          </cell>
          <cell r="AR71" t="str">
            <v>No standard-group gap identified in database</v>
          </cell>
          <cell r="AS71" t="str">
            <v>No usable 6_Prod workbook after recursive search</v>
          </cell>
          <cell r="AT71" t="str">
            <v>field+well-number; Value completion uses No digital LAS found after recursive source search; Candidate mapped to source well</v>
          </cell>
          <cell r="AU71" t="str">
            <v>No digital LAS found after recursive source search</v>
          </cell>
          <cell r="AV71">
            <v>0</v>
          </cell>
          <cell r="AW71">
            <v>0</v>
          </cell>
          <cell r="AX71">
            <v>0</v>
          </cell>
          <cell r="AY71" t="str">
            <v>Not calculable - no usable digital LAS</v>
          </cell>
          <cell r="AZ71" t="str">
            <v>Not calculable - no usable digital LAS</v>
          </cell>
          <cell r="BA71" t="str">
            <v>Not calculable - no usable digital LAS</v>
          </cell>
          <cell r="BB71" t="str">
            <v>Not calculable - no usable digital LAS</v>
          </cell>
          <cell r="BC71" t="str">
            <v>Not calculable - no usable digital LAS</v>
          </cell>
          <cell r="BD71" t="str">
            <v>Not calculable - no usable digital LAS</v>
          </cell>
          <cell r="BE71">
            <v>0</v>
          </cell>
          <cell r="BF71" t="str">
            <v>No digital LAS found after recursive source search</v>
          </cell>
          <cell r="BG71" t="str">
            <v>No usable digital LAS source</v>
          </cell>
          <cell r="BH71" t="str">
            <v>No numeric trajectory source</v>
          </cell>
          <cell r="BI71" t="str">
            <v>No numeric inclination survey</v>
          </cell>
          <cell r="BJ71" t="str">
            <v>No numeric deviation proof</v>
          </cell>
          <cell r="BK71" t="str">
            <v>No coordinate evidence in source/LAS</v>
          </cell>
          <cell r="BL71" t="str">
            <v>No coordinate evidence in source/LAS</v>
          </cell>
          <cell r="BM71" t="str">
            <v>No coordinate evidence in source/LAS</v>
          </cell>
          <cell r="BN71" t="str">
            <v>No coordinate evidence in source/LAS</v>
          </cell>
          <cell r="BO71" t="str">
            <v>No coordinate evidence after source and LAS-header search</v>
          </cell>
        </row>
        <row r="72">
          <cell r="A72" t="str">
            <v>Duri-04188</v>
          </cell>
          <cell r="B72" t="str">
            <v>DURI04188</v>
          </cell>
          <cell r="C72" t="str">
            <v>DURI</v>
          </cell>
          <cell r="D72" t="str">
            <v>Duri</v>
          </cell>
          <cell r="E72">
            <v>2</v>
          </cell>
          <cell r="F72">
            <v>2</v>
          </cell>
          <cell r="G72">
            <v>0.64926872740180996</v>
          </cell>
          <cell r="H72">
            <v>411.89210320000001</v>
          </cell>
          <cell r="I72">
            <v>1.1243418467438799</v>
          </cell>
          <cell r="J72">
            <v>0.34961619875136102</v>
          </cell>
          <cell r="K72">
            <v>656</v>
          </cell>
          <cell r="L72">
            <v>0.64854671038110201</v>
          </cell>
          <cell r="M72">
            <v>147.25</v>
          </cell>
          <cell r="N72">
            <v>1.1993932052298437</v>
          </cell>
          <cell r="O72">
            <v>4682.2817048560601</v>
          </cell>
          <cell r="P72">
            <v>3630.3801971169469</v>
          </cell>
          <cell r="Q72">
            <v>0.11345701574923271</v>
          </cell>
          <cell r="R72">
            <v>726.07603942338937</v>
          </cell>
          <cell r="S72">
            <v>314.18393622338937</v>
          </cell>
          <cell r="T72">
            <v>1.1243418467438799</v>
          </cell>
          <cell r="U72" t="str">
            <v>Rokan</v>
          </cell>
          <cell r="V72">
            <v>1732</v>
          </cell>
          <cell r="W72">
            <v>1630.42600001298</v>
          </cell>
          <cell r="X72">
            <v>1</v>
          </cell>
          <cell r="Y72">
            <v>1</v>
          </cell>
          <cell r="Z72">
            <v>3.5047807838198201E-3</v>
          </cell>
          <cell r="AA72">
            <v>3.5047807838198201E-3</v>
          </cell>
          <cell r="AB72">
            <v>1</v>
          </cell>
          <cell r="AC72">
            <v>1</v>
          </cell>
          <cell r="AD72">
            <v>4</v>
          </cell>
          <cell r="AE72">
            <v>5</v>
          </cell>
          <cell r="AF72">
            <v>5</v>
          </cell>
          <cell r="AG72">
            <v>1</v>
          </cell>
          <cell r="AH72">
            <v>2.4</v>
          </cell>
          <cell r="AI72">
            <v>0.35</v>
          </cell>
          <cell r="AJ72" t="str">
            <v>Tier 3 - acquire / validate critical data</v>
          </cell>
          <cell r="AK72" t="str">
            <v>SHUT IN</v>
          </cell>
          <cell r="AL72" t="str">
            <v>CASED HOLE</v>
          </cell>
          <cell r="AM72" t="str">
            <v>ESP</v>
          </cell>
          <cell r="AN72" t="str">
            <v>good</v>
          </cell>
          <cell r="AO72" t="str">
            <v>Shut In WelL</v>
          </cell>
          <cell r="AP72" t="str">
            <v>Wellhead</v>
          </cell>
          <cell r="AQ72" t="str">
            <v>Well source folder found; digital-group classification absent</v>
          </cell>
          <cell r="AR72" t="str">
            <v>No standard-group gap identified in database</v>
          </cell>
          <cell r="AS72" t="str">
            <v>No usable 6_Prod workbook after recursive search</v>
          </cell>
          <cell r="AT72" t="str">
            <v>field+well-number; Value completion uses No digital LAS found after recursive source search; Candidate mapped to source well</v>
          </cell>
          <cell r="AU72" t="str">
            <v>No digital LAS found after recursive source search</v>
          </cell>
          <cell r="AV72">
            <v>0</v>
          </cell>
          <cell r="AW72">
            <v>0</v>
          </cell>
          <cell r="AX72">
            <v>0</v>
          </cell>
          <cell r="AY72" t="str">
            <v>Not calculable - no usable digital LAS</v>
          </cell>
          <cell r="AZ72" t="str">
            <v>Not calculable - no usable digital LAS</v>
          </cell>
          <cell r="BA72" t="str">
            <v>Not calculable - no usable digital LAS</v>
          </cell>
          <cell r="BB72" t="str">
            <v>Not calculable - no usable digital LAS</v>
          </cell>
          <cell r="BC72" t="str">
            <v>Not calculable - no usable digital LAS</v>
          </cell>
          <cell r="BD72" t="str">
            <v>Not calculable - no usable digital LAS</v>
          </cell>
          <cell r="BE72">
            <v>0</v>
          </cell>
          <cell r="BF72" t="str">
            <v>No digital LAS found after recursive source search</v>
          </cell>
          <cell r="BG72" t="str">
            <v>No usable digital LAS source</v>
          </cell>
          <cell r="BH72" t="str">
            <v>No numeric trajectory source</v>
          </cell>
          <cell r="BI72" t="str">
            <v>No numeric inclination survey</v>
          </cell>
          <cell r="BJ72" t="str">
            <v>No numeric deviation proof</v>
          </cell>
          <cell r="BK72" t="str">
            <v>No coordinate evidence in source/LAS</v>
          </cell>
          <cell r="BL72" t="str">
            <v>No coordinate evidence in source/LAS</v>
          </cell>
          <cell r="BM72" t="str">
            <v>No coordinate evidence in source/LAS</v>
          </cell>
          <cell r="BN72" t="str">
            <v>No coordinate evidence in source/LAS</v>
          </cell>
          <cell r="BO72" t="str">
            <v>No coordinate evidence after source and LAS-header search</v>
          </cell>
        </row>
        <row r="73">
          <cell r="A73" t="str">
            <v>Duri-04199</v>
          </cell>
          <cell r="B73" t="str">
            <v>DURI04199</v>
          </cell>
          <cell r="C73" t="str">
            <v>DURI</v>
          </cell>
          <cell r="D73" t="str">
            <v>Duri</v>
          </cell>
          <cell r="E73">
            <v>50</v>
          </cell>
          <cell r="F73">
            <v>50</v>
          </cell>
          <cell r="G73">
            <v>0.64926872740180996</v>
          </cell>
          <cell r="H73">
            <v>411.89210320000001</v>
          </cell>
          <cell r="I73">
            <v>28.108546168597002</v>
          </cell>
          <cell r="J73">
            <v>0.34961619875136102</v>
          </cell>
          <cell r="K73">
            <v>656</v>
          </cell>
          <cell r="L73">
            <v>0.64854671038110201</v>
          </cell>
          <cell r="M73">
            <v>147.25</v>
          </cell>
          <cell r="N73">
            <v>1.1993932052298437</v>
          </cell>
          <cell r="O73">
            <v>4682.2817048560601</v>
          </cell>
          <cell r="P73">
            <v>3630.3801971169469</v>
          </cell>
          <cell r="Q73">
            <v>0.11345701574923271</v>
          </cell>
          <cell r="R73">
            <v>726.07603942338937</v>
          </cell>
          <cell r="S73">
            <v>314.18393622338937</v>
          </cell>
          <cell r="T73">
            <v>28.108546168597002</v>
          </cell>
          <cell r="U73" t="str">
            <v>Rokan</v>
          </cell>
          <cell r="V73">
            <v>191.81899999999999</v>
          </cell>
          <cell r="W73">
            <v>180.569679501438</v>
          </cell>
          <cell r="X73">
            <v>1</v>
          </cell>
          <cell r="Y73">
            <v>1</v>
          </cell>
          <cell r="Z73">
            <v>0.79114690379679997</v>
          </cell>
          <cell r="AA73">
            <v>0.79114690379679997</v>
          </cell>
          <cell r="AB73">
            <v>3</v>
          </cell>
          <cell r="AC73">
            <v>2</v>
          </cell>
          <cell r="AD73">
            <v>4</v>
          </cell>
          <cell r="AE73">
            <v>5</v>
          </cell>
          <cell r="AF73">
            <v>5</v>
          </cell>
          <cell r="AG73">
            <v>3</v>
          </cell>
          <cell r="AH73">
            <v>3.45</v>
          </cell>
          <cell r="AI73">
            <v>0.35</v>
          </cell>
          <cell r="AJ73" t="str">
            <v>Tier 2 - subsurface / integrity review</v>
          </cell>
          <cell r="AK73" t="str">
            <v>SHUT IN</v>
          </cell>
          <cell r="AL73" t="str">
            <v>OPEN HOLE</v>
          </cell>
          <cell r="AM73" t="str">
            <v>ESP</v>
          </cell>
          <cell r="AN73" t="str">
            <v>GOOD</v>
          </cell>
          <cell r="AO73" t="str">
            <v>Shut in well for I hour SITP= SO psi</v>
          </cell>
          <cell r="AP73" t="str">
            <v>Wellhead</v>
          </cell>
          <cell r="AQ73" t="str">
            <v>Well source folder found; digital-group classification absent</v>
          </cell>
          <cell r="AR73" t="str">
            <v>No standard-group gap identified in database</v>
          </cell>
          <cell r="AS73" t="str">
            <v>No usable 6_Prod workbook after recursive search</v>
          </cell>
          <cell r="AT73" t="str">
            <v>field+well-number; Value completion uses No digital LAS found after recursive source search; Candidate mapped to source well</v>
          </cell>
          <cell r="AU73" t="str">
            <v>No digital LAS found after recursive source search</v>
          </cell>
          <cell r="AV73">
            <v>0</v>
          </cell>
          <cell r="AW73">
            <v>0</v>
          </cell>
          <cell r="AX73">
            <v>0</v>
          </cell>
          <cell r="AY73" t="str">
            <v>Not calculable - no usable digital LAS</v>
          </cell>
          <cell r="AZ73" t="str">
            <v>Not calculable - no usable digital LAS</v>
          </cell>
          <cell r="BA73" t="str">
            <v>Not calculable - no usable digital LAS</v>
          </cell>
          <cell r="BB73" t="str">
            <v>Not calculable - no usable digital LAS</v>
          </cell>
          <cell r="BC73" t="str">
            <v>Not calculable - no usable digital LAS</v>
          </cell>
          <cell r="BD73" t="str">
            <v>Not calculable - no usable digital LAS</v>
          </cell>
          <cell r="BE73">
            <v>0</v>
          </cell>
          <cell r="BF73" t="str">
            <v>No digital LAS found after recursive source search</v>
          </cell>
          <cell r="BG73" t="str">
            <v>No usable digital LAS source</v>
          </cell>
          <cell r="BH73" t="str">
            <v>No numeric trajectory source</v>
          </cell>
          <cell r="BI73" t="str">
            <v>No numeric inclination survey</v>
          </cell>
          <cell r="BJ73" t="str">
            <v>No numeric deviation proof</v>
          </cell>
          <cell r="BK73" t="str">
            <v>No coordinate evidence in source/LAS</v>
          </cell>
          <cell r="BL73" t="str">
            <v>No coordinate evidence in source/LAS</v>
          </cell>
          <cell r="BM73" t="str">
            <v>No coordinate evidence in source/LAS</v>
          </cell>
          <cell r="BN73" t="str">
            <v>No coordinate evidence in source/LAS</v>
          </cell>
          <cell r="BO73" t="str">
            <v>No coordinate evidence after source and LAS-header search</v>
          </cell>
        </row>
        <row r="74">
          <cell r="A74" t="str">
            <v>Duri-04206</v>
          </cell>
          <cell r="B74" t="str">
            <v>DURI04206</v>
          </cell>
          <cell r="C74" t="str">
            <v>DURI</v>
          </cell>
          <cell r="D74" t="str">
            <v>Duri</v>
          </cell>
          <cell r="E74">
            <v>20</v>
          </cell>
          <cell r="F74">
            <v>37</v>
          </cell>
          <cell r="G74">
            <v>0.64926872740180996</v>
          </cell>
          <cell r="H74">
            <v>411.89210320000001</v>
          </cell>
          <cell r="I74">
            <v>11.243418467438801</v>
          </cell>
          <cell r="J74">
            <v>0.34961619875136102</v>
          </cell>
          <cell r="K74">
            <v>656</v>
          </cell>
          <cell r="L74">
            <v>0.64854671038110201</v>
          </cell>
          <cell r="M74">
            <v>147.25</v>
          </cell>
          <cell r="N74">
            <v>1.1993932052298437</v>
          </cell>
          <cell r="O74">
            <v>4682.2817048560601</v>
          </cell>
          <cell r="P74">
            <v>3630.3801971169469</v>
          </cell>
          <cell r="Q74">
            <v>0.11345701574923271</v>
          </cell>
          <cell r="R74">
            <v>726.07603942338937</v>
          </cell>
          <cell r="S74">
            <v>314.18393622338937</v>
          </cell>
          <cell r="T74">
            <v>11.243418467438801</v>
          </cell>
          <cell r="U74" t="str">
            <v>Rokan</v>
          </cell>
          <cell r="V74">
            <v>1732</v>
          </cell>
          <cell r="W74">
            <v>1630.42600001298</v>
          </cell>
          <cell r="X74">
            <v>1</v>
          </cell>
          <cell r="Y74">
            <v>1</v>
          </cell>
          <cell r="Z74">
            <v>6.10359617288024E-2</v>
          </cell>
          <cell r="AA74">
            <v>3.5047807838198199E-2</v>
          </cell>
          <cell r="AB74">
            <v>2</v>
          </cell>
          <cell r="AC74">
            <v>2</v>
          </cell>
          <cell r="AD74">
            <v>4</v>
          </cell>
          <cell r="AE74">
            <v>5</v>
          </cell>
          <cell r="AF74">
            <v>5</v>
          </cell>
          <cell r="AG74">
            <v>1</v>
          </cell>
          <cell r="AH74">
            <v>2.9</v>
          </cell>
          <cell r="AI74">
            <v>0.35</v>
          </cell>
          <cell r="AJ74" t="str">
            <v>Tier 2 - subsurface / integrity review</v>
          </cell>
          <cell r="AK74" t="str">
            <v>SHUT IN</v>
          </cell>
          <cell r="AL74" t="str">
            <v>OPEN HOLE</v>
          </cell>
          <cell r="AM74" t="str">
            <v>ESP</v>
          </cell>
          <cell r="AN74" t="str">
            <v>Leak</v>
          </cell>
          <cell r="AO74" t="str">
            <v>Shut in well WI Sr</v>
          </cell>
          <cell r="AP74" t="str">
            <v>Wellhead</v>
          </cell>
          <cell r="AQ74" t="str">
            <v>Well source folder found; digital-group classification absent</v>
          </cell>
          <cell r="AR74" t="str">
            <v>No standard-group gap identified in database</v>
          </cell>
          <cell r="AS74" t="str">
            <v>No usable 6_Prod workbook after recursive search</v>
          </cell>
          <cell r="AT74" t="str">
            <v>field+well-number; Value completion uses No digital LAS found after recursive source search; Candidate mapped to source well</v>
          </cell>
          <cell r="AU74" t="str">
            <v>No digital LAS found after recursive source search</v>
          </cell>
          <cell r="AV74">
            <v>0</v>
          </cell>
          <cell r="AW74">
            <v>0</v>
          </cell>
          <cell r="AX74">
            <v>0</v>
          </cell>
          <cell r="AY74" t="str">
            <v>Not calculable - no usable digital LAS</v>
          </cell>
          <cell r="AZ74" t="str">
            <v>Not calculable - no usable digital LAS</v>
          </cell>
          <cell r="BA74" t="str">
            <v>Not calculable - no usable digital LAS</v>
          </cell>
          <cell r="BB74" t="str">
            <v>Not calculable - no usable digital LAS</v>
          </cell>
          <cell r="BC74" t="str">
            <v>Not calculable - no usable digital LAS</v>
          </cell>
          <cell r="BD74" t="str">
            <v>Not calculable - no usable digital LAS</v>
          </cell>
          <cell r="BE74">
            <v>0</v>
          </cell>
          <cell r="BF74" t="str">
            <v>No digital LAS found after recursive source search</v>
          </cell>
          <cell r="BG74" t="str">
            <v>No usable digital LAS source</v>
          </cell>
          <cell r="BH74" t="str">
            <v>No numeric trajectory source</v>
          </cell>
          <cell r="BI74" t="str">
            <v>No numeric inclination survey</v>
          </cell>
          <cell r="BJ74" t="str">
            <v>No numeric deviation proof</v>
          </cell>
          <cell r="BK74" t="str">
            <v>No coordinate evidence in source/LAS</v>
          </cell>
          <cell r="BL74" t="str">
            <v>No coordinate evidence in source/LAS</v>
          </cell>
          <cell r="BM74" t="str">
            <v>No coordinate evidence in source/LAS</v>
          </cell>
          <cell r="BN74" t="str">
            <v>No coordinate evidence in source/LAS</v>
          </cell>
          <cell r="BO74" t="str">
            <v>No coordinate evidence after source and LAS-header search</v>
          </cell>
        </row>
        <row r="75">
          <cell r="A75" t="str">
            <v>Duri-04212</v>
          </cell>
          <cell r="B75" t="str">
            <v>DURI04212</v>
          </cell>
          <cell r="C75" t="str">
            <v>DURI</v>
          </cell>
          <cell r="D75" t="str">
            <v>Duri</v>
          </cell>
          <cell r="E75">
            <v>20</v>
          </cell>
          <cell r="F75">
            <v>37</v>
          </cell>
          <cell r="G75">
            <v>0.64926872740180996</v>
          </cell>
          <cell r="H75">
            <v>411.89210320000001</v>
          </cell>
          <cell r="I75">
            <v>11.243418467438801</v>
          </cell>
          <cell r="J75">
            <v>0.34961619875136102</v>
          </cell>
          <cell r="K75">
            <v>656</v>
          </cell>
          <cell r="L75">
            <v>0.64854671038110201</v>
          </cell>
          <cell r="M75">
            <v>147.25</v>
          </cell>
          <cell r="N75">
            <v>1.1993932052298437</v>
          </cell>
          <cell r="O75">
            <v>4682.2817048560601</v>
          </cell>
          <cell r="P75">
            <v>3630.3801971169469</v>
          </cell>
          <cell r="Q75">
            <v>0.11345701574923271</v>
          </cell>
          <cell r="R75">
            <v>726.07603942338937</v>
          </cell>
          <cell r="S75">
            <v>314.18393622338937</v>
          </cell>
          <cell r="T75">
            <v>11.243418467438801</v>
          </cell>
          <cell r="U75" t="str">
            <v>Rokan</v>
          </cell>
          <cell r="V75">
            <v>179.262</v>
          </cell>
          <cell r="W75">
            <v>168.749091001344</v>
          </cell>
          <cell r="X75">
            <v>1</v>
          </cell>
          <cell r="Y75">
            <v>1</v>
          </cell>
          <cell r="Z75">
            <v>0.58971943699326002</v>
          </cell>
          <cell r="AA75">
            <v>0.33862616268790602</v>
          </cell>
          <cell r="AB75">
            <v>2</v>
          </cell>
          <cell r="AC75">
            <v>2</v>
          </cell>
          <cell r="AD75">
            <v>4</v>
          </cell>
          <cell r="AE75">
            <v>5</v>
          </cell>
          <cell r="AF75">
            <v>5</v>
          </cell>
          <cell r="AG75">
            <v>2</v>
          </cell>
          <cell r="AH75">
            <v>3.05</v>
          </cell>
          <cell r="AI75">
            <v>0.35</v>
          </cell>
          <cell r="AJ75" t="str">
            <v>Tier 2 - subsurface / integrity review</v>
          </cell>
          <cell r="AK75" t="str">
            <v>SHUT IN</v>
          </cell>
          <cell r="AL75" t="str">
            <v>OPEN HOLE</v>
          </cell>
          <cell r="AM75" t="str">
            <v>SRP</v>
          </cell>
          <cell r="AN75" t="str">
            <v>good</v>
          </cell>
          <cell r="AO75" t="str">
            <v>Shut In Well Pressure Test BOPE sytem,ok,</v>
          </cell>
          <cell r="AP75" t="str">
            <v>wellhead</v>
          </cell>
          <cell r="AQ75" t="str">
            <v>Well source folder found; digital-group classification absent</v>
          </cell>
          <cell r="AR75" t="str">
            <v>No standard-group gap identified in database</v>
          </cell>
          <cell r="AS75" t="str">
            <v>No usable 6_Prod workbook after recursive search</v>
          </cell>
          <cell r="AT75" t="str">
            <v>field+well-number; Value completion uses No digital LAS found after recursive source search; Candidate mapped to source well</v>
          </cell>
          <cell r="AU75" t="str">
            <v>No digital LAS found after recursive source search</v>
          </cell>
          <cell r="AV75">
            <v>0</v>
          </cell>
          <cell r="AW75">
            <v>0</v>
          </cell>
          <cell r="AX75">
            <v>0</v>
          </cell>
          <cell r="AY75" t="str">
            <v>Not calculable - no usable digital LAS</v>
          </cell>
          <cell r="AZ75" t="str">
            <v>Not calculable - no usable digital LAS</v>
          </cell>
          <cell r="BA75" t="str">
            <v>Not calculable - no usable digital LAS</v>
          </cell>
          <cell r="BB75" t="str">
            <v>Not calculable - no usable digital LAS</v>
          </cell>
          <cell r="BC75" t="str">
            <v>Not calculable - no usable digital LAS</v>
          </cell>
          <cell r="BD75" t="str">
            <v>Not calculable - no usable digital LAS</v>
          </cell>
          <cell r="BE75">
            <v>0</v>
          </cell>
          <cell r="BF75" t="str">
            <v>No digital LAS found after recursive source search</v>
          </cell>
          <cell r="BG75" t="str">
            <v>No usable digital LAS source</v>
          </cell>
          <cell r="BH75" t="str">
            <v>No numeric trajectory source</v>
          </cell>
          <cell r="BI75" t="str">
            <v>No numeric inclination survey</v>
          </cell>
          <cell r="BJ75" t="str">
            <v>No numeric deviation proof</v>
          </cell>
          <cell r="BK75" t="str">
            <v>No coordinate evidence in source/LAS</v>
          </cell>
          <cell r="BL75" t="str">
            <v>No coordinate evidence in source/LAS</v>
          </cell>
          <cell r="BM75" t="str">
            <v>No coordinate evidence in source/LAS</v>
          </cell>
          <cell r="BN75" t="str">
            <v>No coordinate evidence in source/LAS</v>
          </cell>
          <cell r="BO75" t="str">
            <v>No coordinate evidence after source and LAS-header search</v>
          </cell>
        </row>
        <row r="76">
          <cell r="A76" t="str">
            <v>Duri-04226</v>
          </cell>
          <cell r="B76" t="str">
            <v>DURI04226</v>
          </cell>
          <cell r="C76" t="str">
            <v>DURI</v>
          </cell>
          <cell r="D76" t="str">
            <v>Duri</v>
          </cell>
          <cell r="E76">
            <v>3</v>
          </cell>
          <cell r="F76">
            <v>3</v>
          </cell>
          <cell r="G76">
            <v>0.64926872740180996</v>
          </cell>
          <cell r="H76">
            <v>411.89210320000001</v>
          </cell>
          <cell r="I76">
            <v>1.68651277011582</v>
          </cell>
          <cell r="J76">
            <v>0.34961619875136102</v>
          </cell>
          <cell r="K76">
            <v>656</v>
          </cell>
          <cell r="L76">
            <v>0.64854671038110201</v>
          </cell>
          <cell r="M76">
            <v>147.25</v>
          </cell>
          <cell r="N76">
            <v>1.1993932052298437</v>
          </cell>
          <cell r="O76">
            <v>4682.2817048560601</v>
          </cell>
          <cell r="P76">
            <v>3630.3801971169469</v>
          </cell>
          <cell r="Q76">
            <v>0.11345701574923271</v>
          </cell>
          <cell r="R76">
            <v>726.07603942338937</v>
          </cell>
          <cell r="S76">
            <v>314.18393622338937</v>
          </cell>
          <cell r="T76">
            <v>1.68651277011582</v>
          </cell>
          <cell r="U76" t="str">
            <v>Rokan</v>
          </cell>
          <cell r="V76">
            <v>1858.0029999999999</v>
          </cell>
          <cell r="W76">
            <v>1749.03949151393</v>
          </cell>
          <cell r="X76">
            <v>1</v>
          </cell>
          <cell r="Y76">
            <v>1</v>
          </cell>
          <cell r="Z76">
            <v>4.9006489636259504E-3</v>
          </cell>
          <cell r="AA76">
            <v>4.9006489636259504E-3</v>
          </cell>
          <cell r="AB76">
            <v>1</v>
          </cell>
          <cell r="AC76">
            <v>1</v>
          </cell>
          <cell r="AD76">
            <v>4</v>
          </cell>
          <cell r="AE76">
            <v>5</v>
          </cell>
          <cell r="AF76">
            <v>5</v>
          </cell>
          <cell r="AG76">
            <v>1</v>
          </cell>
          <cell r="AH76">
            <v>2.4</v>
          </cell>
          <cell r="AI76">
            <v>0.35</v>
          </cell>
          <cell r="AJ76" t="str">
            <v>Tier 3 - acquire / validate critical data</v>
          </cell>
          <cell r="AK76" t="str">
            <v>SHUT IN</v>
          </cell>
          <cell r="AL76" t="str">
            <v>OPEN HOLE</v>
          </cell>
          <cell r="AM76" t="str">
            <v>ESP</v>
          </cell>
          <cell r="AN76" t="str">
            <v>GOOD</v>
          </cell>
          <cell r="AO76" t="str">
            <v>SHUT IN WELL</v>
          </cell>
          <cell r="AP76" t="str">
            <v>Yes</v>
          </cell>
          <cell r="AQ76" t="str">
            <v>Well source folder found; digital-group classification absent</v>
          </cell>
          <cell r="AR76" t="str">
            <v>No standard-group gap identified in database</v>
          </cell>
          <cell r="AS76" t="str">
            <v>No usable 6_Prod workbook after recursive search</v>
          </cell>
          <cell r="AT76" t="str">
            <v>field+well-number; Value completion uses No digital LAS found after recursive source search; Candidate mapped to source well</v>
          </cell>
          <cell r="AU76" t="str">
            <v>No digital LAS found after recursive source search</v>
          </cell>
          <cell r="AV76">
            <v>0</v>
          </cell>
          <cell r="AW76">
            <v>0</v>
          </cell>
          <cell r="AX76">
            <v>0</v>
          </cell>
          <cell r="AY76" t="str">
            <v>Not calculable - no usable digital LAS</v>
          </cell>
          <cell r="AZ76" t="str">
            <v>Not calculable - no usable digital LAS</v>
          </cell>
          <cell r="BA76" t="str">
            <v>Not calculable - no usable digital LAS</v>
          </cell>
          <cell r="BB76" t="str">
            <v>Not calculable - no usable digital LAS</v>
          </cell>
          <cell r="BC76" t="str">
            <v>Not calculable - no usable digital LAS</v>
          </cell>
          <cell r="BD76" t="str">
            <v>Not calculable - no usable digital LAS</v>
          </cell>
          <cell r="BE76">
            <v>0</v>
          </cell>
          <cell r="BF76" t="str">
            <v>No digital LAS found after recursive source search</v>
          </cell>
          <cell r="BG76" t="str">
            <v>No usable digital LAS source</v>
          </cell>
          <cell r="BH76" t="str">
            <v>No numeric trajectory source</v>
          </cell>
          <cell r="BI76" t="str">
            <v>No numeric inclination survey</v>
          </cell>
          <cell r="BJ76" t="str">
            <v>No numeric deviation proof</v>
          </cell>
          <cell r="BK76" t="str">
            <v>No coordinate evidence in source/LAS</v>
          </cell>
          <cell r="BL76" t="str">
            <v>No coordinate evidence in source/LAS</v>
          </cell>
          <cell r="BM76" t="str">
            <v>No coordinate evidence in source/LAS</v>
          </cell>
          <cell r="BN76" t="str">
            <v>No coordinate evidence in source/LAS</v>
          </cell>
          <cell r="BO76" t="str">
            <v>No coordinate evidence after source and LAS-header search</v>
          </cell>
        </row>
        <row r="77">
          <cell r="A77" t="str">
            <v>Duri-04233</v>
          </cell>
          <cell r="B77" t="str">
            <v>DURI04233</v>
          </cell>
          <cell r="C77" t="str">
            <v>DURI</v>
          </cell>
          <cell r="D77" t="str">
            <v>Duri</v>
          </cell>
          <cell r="E77">
            <v>3</v>
          </cell>
          <cell r="F77">
            <v>20</v>
          </cell>
          <cell r="G77">
            <v>0.64926872740180996</v>
          </cell>
          <cell r="H77">
            <v>411.89210320000001</v>
          </cell>
          <cell r="I77">
            <v>1.68651277011582</v>
          </cell>
          <cell r="J77">
            <v>0.35149999999999998</v>
          </cell>
          <cell r="K77">
            <v>656</v>
          </cell>
          <cell r="L77">
            <v>0.68818000000000001</v>
          </cell>
          <cell r="M77">
            <v>158.5</v>
          </cell>
          <cell r="N77">
            <v>1.1993932052298437</v>
          </cell>
          <cell r="O77">
            <v>4495.7446841938299</v>
          </cell>
          <cell r="P77">
            <v>3485.7497907193519</v>
          </cell>
          <cell r="Q77">
            <v>0.11816456370352334</v>
          </cell>
          <cell r="R77">
            <v>697.14995814387044</v>
          </cell>
          <cell r="S77">
            <v>285.25785494387043</v>
          </cell>
          <cell r="T77">
            <v>1.68651277011582</v>
          </cell>
          <cell r="U77" t="str">
            <v>Rokan</v>
          </cell>
          <cell r="V77">
            <v>125.137</v>
          </cell>
          <cell r="W77">
            <v>117.493780950461</v>
          </cell>
          <cell r="X77">
            <v>1</v>
          </cell>
          <cell r="Y77">
            <v>1</v>
          </cell>
          <cell r="Z77">
            <v>0.4</v>
          </cell>
          <cell r="AA77">
            <v>0.06</v>
          </cell>
          <cell r="AB77">
            <v>1</v>
          </cell>
          <cell r="AC77">
            <v>1</v>
          </cell>
          <cell r="AD77">
            <v>3</v>
          </cell>
          <cell r="AE77">
            <v>5</v>
          </cell>
          <cell r="AF77">
            <v>5</v>
          </cell>
          <cell r="AG77">
            <v>1</v>
          </cell>
          <cell r="AH77">
            <v>2.4</v>
          </cell>
          <cell r="AI77">
            <v>0.65</v>
          </cell>
          <cell r="AJ77" t="str">
            <v>Tier 3 - acquire / validate critical data</v>
          </cell>
          <cell r="AK77" t="str">
            <v>POP</v>
          </cell>
          <cell r="AL77" t="str">
            <v>OPEN HOLE</v>
          </cell>
          <cell r="AM77" t="str">
            <v>ESP</v>
          </cell>
          <cell r="AN77" t="str">
            <v>Good</v>
          </cell>
          <cell r="AO77" t="str">
            <v>SHUT IN WELL</v>
          </cell>
          <cell r="AP77" t="str">
            <v>flow line</v>
          </cell>
          <cell r="AQ77" t="str">
            <v>Well source folder found; digital-group classification absent</v>
          </cell>
          <cell r="AR77" t="str">
            <v>No standard-group gap identified in database</v>
          </cell>
          <cell r="AS77" t="str">
            <v>No usable 6_Prod workbook after recursive search</v>
          </cell>
          <cell r="AT77" t="str">
            <v>field+well-number; Value completion uses Formation evaluation completed; Candidate mapped to source well</v>
          </cell>
          <cell r="AU77" t="str">
            <v>NZBP SCREENING CANDIDATE</v>
          </cell>
          <cell r="AV77">
            <v>10</v>
          </cell>
          <cell r="AW77">
            <v>219.92112244286136</v>
          </cell>
          <cell r="AX77">
            <v>43.984224488572274</v>
          </cell>
          <cell r="AY77">
            <v>289</v>
          </cell>
          <cell r="AZ77">
            <v>315</v>
          </cell>
          <cell r="BA77">
            <v>289</v>
          </cell>
          <cell r="BB77">
            <v>315</v>
          </cell>
          <cell r="BC77">
            <v>26.5</v>
          </cell>
          <cell r="BD77">
            <v>87</v>
          </cell>
          <cell r="BE77">
            <v>1</v>
          </cell>
          <cell r="BF77" t="str">
            <v>Formation evaluation completed</v>
          </cell>
          <cell r="BG77" t="str">
            <v>D:\HALLIBURTON CONSULTING\Data Nations\Zona Rokan\DURI\DURI04233\5_Well_Log_Raw\DURI04233_duri03480_ch_rst_pro.las_duri03480_ch_rst_pro.las_155317.las</v>
          </cell>
          <cell r="BH77" t="str">
            <v>MD used as TVD; no numeric deviation survey found</v>
          </cell>
          <cell r="BI77">
            <v>0</v>
          </cell>
          <cell r="BJ77" t="str">
            <v>No numeric horizontal proof</v>
          </cell>
          <cell r="BK77" t="str">
            <v>No coordinate evidence in source/LAS</v>
          </cell>
          <cell r="BL77" t="str">
            <v>No coordinate evidence in source/LAS</v>
          </cell>
          <cell r="BM77" t="str">
            <v>No coordinate evidence in source/LAS</v>
          </cell>
          <cell r="BN77" t="str">
            <v>No coordinate evidence in source/LAS</v>
          </cell>
          <cell r="BO77" t="str">
            <v>No coordinate evidence after source and LAS-header search</v>
          </cell>
        </row>
        <row r="78">
          <cell r="A78" t="str">
            <v>Duri-04252</v>
          </cell>
          <cell r="B78" t="str">
            <v>DURI04252</v>
          </cell>
          <cell r="C78" t="str">
            <v>DURI</v>
          </cell>
          <cell r="D78" t="str">
            <v>Duri</v>
          </cell>
          <cell r="E78">
            <v>4</v>
          </cell>
          <cell r="F78">
            <v>4</v>
          </cell>
          <cell r="G78">
            <v>0.64926872740180996</v>
          </cell>
          <cell r="H78">
            <v>411.89210320000001</v>
          </cell>
          <cell r="I78">
            <v>2.2486836934877599</v>
          </cell>
          <cell r="J78">
            <v>0.34961619875136102</v>
          </cell>
          <cell r="K78">
            <v>656</v>
          </cell>
          <cell r="L78">
            <v>0.64854671038110201</v>
          </cell>
          <cell r="M78">
            <v>147.25</v>
          </cell>
          <cell r="N78">
            <v>1.1993932052298437</v>
          </cell>
          <cell r="O78">
            <v>4682.2817048560601</v>
          </cell>
          <cell r="P78">
            <v>3630.3801971169469</v>
          </cell>
          <cell r="Q78">
            <v>0.11345701574923271</v>
          </cell>
          <cell r="R78">
            <v>726.07603942338937</v>
          </cell>
          <cell r="S78">
            <v>314.18393622338937</v>
          </cell>
          <cell r="T78">
            <v>2.2486836934877599</v>
          </cell>
          <cell r="U78" t="str">
            <v>Rokan</v>
          </cell>
          <cell r="V78">
            <v>2489.9665</v>
          </cell>
          <cell r="W78">
            <v>2343.9411782686602</v>
          </cell>
          <cell r="X78">
            <v>1</v>
          </cell>
          <cell r="Y78">
            <v>1</v>
          </cell>
          <cell r="Z78">
            <v>4.8757927607266504E-3</v>
          </cell>
          <cell r="AA78">
            <v>4.8757927607266504E-3</v>
          </cell>
          <cell r="AB78">
            <v>1</v>
          </cell>
          <cell r="AC78">
            <v>1</v>
          </cell>
          <cell r="AD78">
            <v>4</v>
          </cell>
          <cell r="AE78">
            <v>5</v>
          </cell>
          <cell r="AF78">
            <v>5</v>
          </cell>
          <cell r="AG78">
            <v>1</v>
          </cell>
          <cell r="AH78">
            <v>2.4</v>
          </cell>
          <cell r="AI78">
            <v>0.65</v>
          </cell>
          <cell r="AJ78" t="str">
            <v>Tier 3 - acquire / validate critical data</v>
          </cell>
          <cell r="AK78" t="str">
            <v>SHUT IN</v>
          </cell>
          <cell r="AL78" t="str">
            <v>OPEN HOLE</v>
          </cell>
          <cell r="AM78" t="str">
            <v>ESP</v>
          </cell>
          <cell r="AN78" t="str">
            <v>Good</v>
          </cell>
          <cell r="AO78" t="str">
            <v>SHUT IN WELL AND FILL UP SQUARE TANK WITH WATER</v>
          </cell>
          <cell r="AP78" t="str">
            <v>flow line</v>
          </cell>
          <cell r="AQ78" t="str">
            <v>Well source folder found; digital-group classification absent</v>
          </cell>
          <cell r="AR78" t="str">
            <v>No standard-group gap identified in database</v>
          </cell>
          <cell r="AS78" t="str">
            <v>No usable 6_Prod workbook after recursive search</v>
          </cell>
          <cell r="AT78" t="str">
            <v>field+well-number; Value completion uses Formation evaluation completed; Candidate mapped to source well</v>
          </cell>
          <cell r="AU78" t="str">
            <v>No qualifying &gt;=5 ft NZBP interval in interpreted LAS</v>
          </cell>
          <cell r="AV78">
            <v>0</v>
          </cell>
          <cell r="AW78">
            <v>0</v>
          </cell>
          <cell r="AX78">
            <v>0</v>
          </cell>
          <cell r="AY78" t="str">
            <v>No qualifying &gt;=5 ft interval</v>
          </cell>
          <cell r="AZ78" t="str">
            <v>No qualifying &gt;=5 ft interval</v>
          </cell>
          <cell r="BA78" t="str">
            <v>No qualifying &gt;=5 ft interval</v>
          </cell>
          <cell r="BB78" t="str">
            <v>No qualifying &gt;=5 ft interval</v>
          </cell>
          <cell r="BC78" t="str">
            <v>No qualifying &gt;=5 ft interval</v>
          </cell>
          <cell r="BD78" t="str">
            <v>No qualifying &gt;=5 ft interval</v>
          </cell>
          <cell r="BE78">
            <v>1</v>
          </cell>
          <cell r="BF78" t="str">
            <v>Formation evaluation completed</v>
          </cell>
          <cell r="BG78" t="str">
            <v>D:\HALLIBURTON CONSULTING\Data Nations\Zona Rokan\DURI\DURI04252\5_Well_Log_Raw\823176413_SBHP_DURI04252_19JUN19_R1_WFT_200_96MIN.las</v>
          </cell>
          <cell r="BH78" t="str">
            <v>MD used as TVD; no numeric deviation survey found</v>
          </cell>
          <cell r="BI78">
            <v>0</v>
          </cell>
          <cell r="BJ78" t="str">
            <v>No numeric horizontal proof</v>
          </cell>
          <cell r="BK78" t="str">
            <v>No coordinate evidence in source/LAS</v>
          </cell>
          <cell r="BL78" t="str">
            <v>No coordinate evidence in source/LAS</v>
          </cell>
          <cell r="BM78" t="str">
            <v>No coordinate evidence in source/LAS</v>
          </cell>
          <cell r="BN78" t="str">
            <v>No coordinate evidence in source/LAS</v>
          </cell>
          <cell r="BO78" t="str">
            <v>No coordinate evidence after source and LAS-header search</v>
          </cell>
        </row>
        <row r="79">
          <cell r="A79" t="str">
            <v>Duri-04256</v>
          </cell>
          <cell r="B79" t="str">
            <v>DURI04256</v>
          </cell>
          <cell r="C79" t="str">
            <v>DURI</v>
          </cell>
          <cell r="D79" t="str">
            <v>Duri</v>
          </cell>
          <cell r="E79">
            <v>82</v>
          </cell>
          <cell r="F79">
            <v>82</v>
          </cell>
          <cell r="G79">
            <v>0.64926872740180996</v>
          </cell>
          <cell r="H79">
            <v>411.89210320000001</v>
          </cell>
          <cell r="I79">
            <v>46.098015716499098</v>
          </cell>
          <cell r="J79">
            <v>0.34961619875136102</v>
          </cell>
          <cell r="K79">
            <v>656</v>
          </cell>
          <cell r="L79">
            <v>0.64854671038110201</v>
          </cell>
          <cell r="M79">
            <v>147.25</v>
          </cell>
          <cell r="N79">
            <v>1.1993932052298437</v>
          </cell>
          <cell r="O79">
            <v>4682.2817048560601</v>
          </cell>
          <cell r="P79">
            <v>3630.3801971169469</v>
          </cell>
          <cell r="Q79">
            <v>0.11345701574923271</v>
          </cell>
          <cell r="R79">
            <v>726.07603942338937</v>
          </cell>
          <cell r="S79">
            <v>314.18393622338937</v>
          </cell>
          <cell r="T79">
            <v>46.098015716499098</v>
          </cell>
          <cell r="U79" t="str">
            <v>Rokan</v>
          </cell>
          <cell r="V79">
            <v>155.01400000000001</v>
          </cell>
          <cell r="W79">
            <v>145.92312700116199</v>
          </cell>
          <cell r="X79">
            <v>1</v>
          </cell>
          <cell r="Y79">
            <v>1</v>
          </cell>
          <cell r="Z79">
            <v>1.6055420350459499</v>
          </cell>
          <cell r="AA79">
            <v>1.6055420350459499</v>
          </cell>
          <cell r="AB79">
            <v>3</v>
          </cell>
          <cell r="AC79">
            <v>2</v>
          </cell>
          <cell r="AD79">
            <v>4</v>
          </cell>
          <cell r="AE79">
            <v>5</v>
          </cell>
          <cell r="AF79">
            <v>5</v>
          </cell>
          <cell r="AG79">
            <v>4</v>
          </cell>
          <cell r="AH79">
            <v>3.6</v>
          </cell>
          <cell r="AI79">
            <v>0.65</v>
          </cell>
          <cell r="AJ79" t="str">
            <v>Tier 1 - validate for reactivation</v>
          </cell>
          <cell r="AK79" t="str">
            <v>SHUT IN</v>
          </cell>
          <cell r="AL79" t="str">
            <v>OPEN HOLE</v>
          </cell>
          <cell r="AM79" t="str">
            <v>ESP</v>
          </cell>
          <cell r="AN79" t="str">
            <v>good</v>
          </cell>
          <cell r="AO79" t="str">
            <v>SHUT IN WEll BY CREW SUPRACO AND N/U CIRCULATING UNE</v>
          </cell>
          <cell r="AP79" t="str">
            <v>flow line</v>
          </cell>
          <cell r="AQ79" t="str">
            <v>Well source folder found; digital-group classification absent</v>
          </cell>
          <cell r="AR79" t="str">
            <v>No standard-group gap identified in database</v>
          </cell>
          <cell r="AS79" t="str">
            <v>No usable 6_Prod workbook after recursive search</v>
          </cell>
          <cell r="AT79" t="str">
            <v>field+well-number; Value completion uses Formation evaluation completed; Candidate mapped to source well</v>
          </cell>
          <cell r="AU79" t="str">
            <v>No qualifying &gt;=5 ft NZBP interval in interpreted LAS</v>
          </cell>
          <cell r="AV79">
            <v>0</v>
          </cell>
          <cell r="AW79">
            <v>0</v>
          </cell>
          <cell r="AX79">
            <v>0</v>
          </cell>
          <cell r="AY79" t="str">
            <v>No qualifying &gt;=5 ft interval</v>
          </cell>
          <cell r="AZ79" t="str">
            <v>No qualifying &gt;=5 ft interval</v>
          </cell>
          <cell r="BA79" t="str">
            <v>No qualifying &gt;=5 ft interval</v>
          </cell>
          <cell r="BB79" t="str">
            <v>No qualifying &gt;=5 ft interval</v>
          </cell>
          <cell r="BC79" t="str">
            <v>No qualifying &gt;=5 ft interval</v>
          </cell>
          <cell r="BD79" t="str">
            <v>No qualifying &gt;=5 ft interval</v>
          </cell>
          <cell r="BE79">
            <v>1</v>
          </cell>
          <cell r="BF79" t="str">
            <v>Formation evaluation completed</v>
          </cell>
          <cell r="BG79" t="str">
            <v>D:\HALLIBURTON CONSULTING\Data Nations\Zona Rokan\DURI\DURI04256\5_Well_Log_Raw\34552327_Spinner_4Q51B_D4256_2May12_HHI.las</v>
          </cell>
          <cell r="BH79" t="str">
            <v>MD used as TVD; no numeric deviation survey found</v>
          </cell>
          <cell r="BI79">
            <v>0</v>
          </cell>
          <cell r="BJ79" t="str">
            <v>No numeric horizontal proof</v>
          </cell>
          <cell r="BK79" t="str">
            <v>No coordinate evidence in source/LAS</v>
          </cell>
          <cell r="BL79" t="str">
            <v>No coordinate evidence in source/LAS</v>
          </cell>
          <cell r="BM79" t="str">
            <v>No coordinate evidence in source/LAS</v>
          </cell>
          <cell r="BN79" t="str">
            <v>No coordinate evidence in source/LAS</v>
          </cell>
          <cell r="BO79" t="str">
            <v>No coordinate evidence after source and LAS-header search</v>
          </cell>
        </row>
        <row r="80">
          <cell r="A80" t="str">
            <v>Duri-04258</v>
          </cell>
          <cell r="B80" t="str">
            <v>DURI04258</v>
          </cell>
          <cell r="C80" t="str">
            <v>DURI</v>
          </cell>
          <cell r="D80" t="str">
            <v>Duri</v>
          </cell>
          <cell r="E80">
            <v>7</v>
          </cell>
          <cell r="F80">
            <v>7</v>
          </cell>
          <cell r="G80">
            <v>0.64926872740180996</v>
          </cell>
          <cell r="H80">
            <v>411.89210320000001</v>
          </cell>
          <cell r="I80">
            <v>3.9351964636035799</v>
          </cell>
          <cell r="J80">
            <v>0.34961619875136102</v>
          </cell>
          <cell r="K80">
            <v>656</v>
          </cell>
          <cell r="L80">
            <v>0.64854671038110201</v>
          </cell>
          <cell r="M80">
            <v>147.25</v>
          </cell>
          <cell r="N80">
            <v>1.1993932052298437</v>
          </cell>
          <cell r="O80">
            <v>4682.2817048560601</v>
          </cell>
          <cell r="P80">
            <v>3630.3801971169469</v>
          </cell>
          <cell r="Q80">
            <v>0.11345701574923271</v>
          </cell>
          <cell r="R80">
            <v>726.07603942338937</v>
          </cell>
          <cell r="S80">
            <v>314.18393622338937</v>
          </cell>
          <cell r="T80">
            <v>3.9351964636035799</v>
          </cell>
          <cell r="U80" t="str">
            <v>Rokan</v>
          </cell>
          <cell r="V80">
            <v>163.24100000000001</v>
          </cell>
          <cell r="W80">
            <v>153.66765050122399</v>
          </cell>
          <cell r="X80">
            <v>1</v>
          </cell>
          <cell r="Y80">
            <v>1</v>
          </cell>
          <cell r="Z80">
            <v>0.130151010539728</v>
          </cell>
          <cell r="AA80">
            <v>0.130151010539728</v>
          </cell>
          <cell r="AB80">
            <v>1</v>
          </cell>
          <cell r="AC80">
            <v>1</v>
          </cell>
          <cell r="AD80">
            <v>4</v>
          </cell>
          <cell r="AE80">
            <v>5</v>
          </cell>
          <cell r="AF80">
            <v>5</v>
          </cell>
          <cell r="AG80">
            <v>1</v>
          </cell>
          <cell r="AH80">
            <v>2.4</v>
          </cell>
          <cell r="AI80">
            <v>0.65</v>
          </cell>
          <cell r="AJ80" t="str">
            <v>Tier 3 - acquire / validate critical data</v>
          </cell>
          <cell r="AK80" t="str">
            <v>SHUT IN</v>
          </cell>
          <cell r="AL80" t="str">
            <v>OPEN HOLE</v>
          </cell>
          <cell r="AM80" t="str">
            <v>ESP</v>
          </cell>
          <cell r="AN80" t="str">
            <v>good</v>
          </cell>
          <cell r="AO80" t="str">
            <v>Shut in Well and setted all Equipment</v>
          </cell>
          <cell r="AP80" t="str">
            <v>flow line</v>
          </cell>
          <cell r="AQ80" t="str">
            <v>Well source folder found; digital-group classification absent</v>
          </cell>
          <cell r="AR80" t="str">
            <v>No standard-group gap identified in database</v>
          </cell>
          <cell r="AS80" t="str">
            <v>No usable 6_Prod workbook after recursive search</v>
          </cell>
          <cell r="AT80" t="str">
            <v>field+well-number; Value completion uses Formation evaluation completed; Candidate mapped to source well</v>
          </cell>
          <cell r="AU80" t="str">
            <v>No qualifying &gt;=5 ft NZBP interval in interpreted LAS</v>
          </cell>
          <cell r="AV80">
            <v>0</v>
          </cell>
          <cell r="AW80">
            <v>0</v>
          </cell>
          <cell r="AX80">
            <v>0</v>
          </cell>
          <cell r="AY80" t="str">
            <v>No qualifying &gt;=5 ft interval</v>
          </cell>
          <cell r="AZ80" t="str">
            <v>No qualifying &gt;=5 ft interval</v>
          </cell>
          <cell r="BA80" t="str">
            <v>No qualifying &gt;=5 ft interval</v>
          </cell>
          <cell r="BB80" t="str">
            <v>No qualifying &gt;=5 ft interval</v>
          </cell>
          <cell r="BC80" t="str">
            <v>No qualifying &gt;=5 ft interval</v>
          </cell>
          <cell r="BD80" t="str">
            <v>No qualifying &gt;=5 ft interval</v>
          </cell>
          <cell r="BE80">
            <v>1</v>
          </cell>
          <cell r="BF80" t="str">
            <v>Formation evaluation completed</v>
          </cell>
          <cell r="BG80" t="str">
            <v>D:\HALLIBURTON CONSULTING\Data Nations\Zona Rokan\DURI\DURI04258\5_Well_Log_Raw\DURI04258_Spinner_3Q68B_D4258_6May11_HHI.las_Spinner.las</v>
          </cell>
          <cell r="BH80" t="str">
            <v>MD used as TVD; no numeric deviation survey found</v>
          </cell>
          <cell r="BI80">
            <v>0</v>
          </cell>
          <cell r="BJ80" t="str">
            <v>No numeric horizontal proof</v>
          </cell>
          <cell r="BK80" t="str">
            <v>No coordinate evidence in source/LAS</v>
          </cell>
          <cell r="BL80" t="str">
            <v>No coordinate evidence in source/LAS</v>
          </cell>
          <cell r="BM80" t="str">
            <v>No coordinate evidence in source/LAS</v>
          </cell>
          <cell r="BN80" t="str">
            <v>No coordinate evidence in source/LAS</v>
          </cell>
          <cell r="BO80" t="str">
            <v>No coordinate evidence after source and LAS-header search</v>
          </cell>
        </row>
        <row r="81">
          <cell r="A81" t="str">
            <v>Duri-04282</v>
          </cell>
          <cell r="B81" t="str">
            <v>DURI04282</v>
          </cell>
          <cell r="C81" t="str">
            <v>DURI</v>
          </cell>
          <cell r="D81" t="str">
            <v>Duri</v>
          </cell>
          <cell r="E81">
            <v>20</v>
          </cell>
          <cell r="F81">
            <v>37</v>
          </cell>
          <cell r="G81">
            <v>0.64926872740180996</v>
          </cell>
          <cell r="H81">
            <v>411.89210320000001</v>
          </cell>
          <cell r="I81">
            <v>11.243418467438801</v>
          </cell>
          <cell r="J81">
            <v>0.34961619875136102</v>
          </cell>
          <cell r="K81">
            <v>656</v>
          </cell>
          <cell r="L81">
            <v>0.64854671038110201</v>
          </cell>
          <cell r="M81">
            <v>147.25</v>
          </cell>
          <cell r="N81">
            <v>1.1993932052298437</v>
          </cell>
          <cell r="O81">
            <v>4682.2817048560601</v>
          </cell>
          <cell r="P81">
            <v>3630.3801971169469</v>
          </cell>
          <cell r="Q81">
            <v>0.11345701574923271</v>
          </cell>
          <cell r="R81">
            <v>726.07603942338937</v>
          </cell>
          <cell r="S81">
            <v>314.18393622338937</v>
          </cell>
          <cell r="T81">
            <v>11.243418467438801</v>
          </cell>
          <cell r="U81" t="str">
            <v>Rokan</v>
          </cell>
          <cell r="V81">
            <v>204.809</v>
          </cell>
          <cell r="W81">
            <v>192.79787450153501</v>
          </cell>
          <cell r="X81">
            <v>1</v>
          </cell>
          <cell r="Y81">
            <v>1</v>
          </cell>
          <cell r="Z81">
            <v>0.51616035288627804</v>
          </cell>
          <cell r="AA81">
            <v>0.29638738129554498</v>
          </cell>
          <cell r="AB81">
            <v>2</v>
          </cell>
          <cell r="AC81">
            <v>2</v>
          </cell>
          <cell r="AD81">
            <v>4</v>
          </cell>
          <cell r="AE81">
            <v>5</v>
          </cell>
          <cell r="AF81">
            <v>5</v>
          </cell>
          <cell r="AG81">
            <v>2</v>
          </cell>
          <cell r="AH81">
            <v>3.05</v>
          </cell>
          <cell r="AI81">
            <v>0.35</v>
          </cell>
          <cell r="AJ81" t="str">
            <v>Tier 2 - subsurface / integrity review</v>
          </cell>
          <cell r="AK81" t="str">
            <v>SUSPENDED</v>
          </cell>
          <cell r="AL81" t="str">
            <v>CASED HOLE</v>
          </cell>
          <cell r="AM81" t="str">
            <v>ESP</v>
          </cell>
          <cell r="AN81" t="str">
            <v>GOOD</v>
          </cell>
          <cell r="AO81" t="str">
            <v>SHUT IN WELL</v>
          </cell>
          <cell r="AP81" t="str">
            <v>flow line</v>
          </cell>
          <cell r="AQ81" t="str">
            <v>Well source folder found; digital-group classification absent</v>
          </cell>
          <cell r="AR81" t="str">
            <v>No standard-group gap identified in database</v>
          </cell>
          <cell r="AS81" t="str">
            <v>No usable 6_Prod workbook after recursive search</v>
          </cell>
          <cell r="AT81" t="str">
            <v>field+well-number; Value completion uses No digital LAS found after recursive source search; Candidate mapped to source well</v>
          </cell>
          <cell r="AU81" t="str">
            <v>No digital LAS found after recursive source search</v>
          </cell>
          <cell r="AV81">
            <v>0</v>
          </cell>
          <cell r="AW81">
            <v>0</v>
          </cell>
          <cell r="AX81">
            <v>0</v>
          </cell>
          <cell r="AY81" t="str">
            <v>Not calculable - no usable digital LAS</v>
          </cell>
          <cell r="AZ81" t="str">
            <v>Not calculable - no usable digital LAS</v>
          </cell>
          <cell r="BA81" t="str">
            <v>Not calculable - no usable digital LAS</v>
          </cell>
          <cell r="BB81" t="str">
            <v>Not calculable - no usable digital LAS</v>
          </cell>
          <cell r="BC81" t="str">
            <v>Not calculable - no usable digital LAS</v>
          </cell>
          <cell r="BD81" t="str">
            <v>Not calculable - no usable digital LAS</v>
          </cell>
          <cell r="BE81">
            <v>0</v>
          </cell>
          <cell r="BF81" t="str">
            <v>No digital LAS found after recursive source search</v>
          </cell>
          <cell r="BG81" t="str">
            <v>No usable digital LAS source</v>
          </cell>
          <cell r="BH81" t="str">
            <v>No numeric trajectory source</v>
          </cell>
          <cell r="BI81" t="str">
            <v>No numeric inclination survey</v>
          </cell>
          <cell r="BJ81" t="str">
            <v>No numeric deviation proof</v>
          </cell>
          <cell r="BK81" t="str">
            <v>No coordinate evidence in source/LAS</v>
          </cell>
          <cell r="BL81" t="str">
            <v>No coordinate evidence in source/LAS</v>
          </cell>
          <cell r="BM81" t="str">
            <v>No coordinate evidence in source/LAS</v>
          </cell>
          <cell r="BN81" t="str">
            <v>No coordinate evidence in source/LAS</v>
          </cell>
          <cell r="BO81" t="str">
            <v>No coordinate evidence after source and LAS-header search</v>
          </cell>
        </row>
        <row r="82">
          <cell r="A82" t="str">
            <v>Duri-04285</v>
          </cell>
          <cell r="B82" t="str">
            <v>DURI04285</v>
          </cell>
          <cell r="C82" t="str">
            <v>DURI</v>
          </cell>
          <cell r="D82" t="str">
            <v>Duri</v>
          </cell>
          <cell r="E82">
            <v>31</v>
          </cell>
          <cell r="F82">
            <v>31</v>
          </cell>
          <cell r="G82">
            <v>0.64926872740180996</v>
          </cell>
          <cell r="H82">
            <v>411.89210320000001</v>
          </cell>
          <cell r="I82">
            <v>17.427298624530099</v>
          </cell>
          <cell r="J82">
            <v>0.34961619875136102</v>
          </cell>
          <cell r="K82">
            <v>656</v>
          </cell>
          <cell r="L82">
            <v>0.64854671038110201</v>
          </cell>
          <cell r="M82">
            <v>147.25</v>
          </cell>
          <cell r="N82">
            <v>1.1993932052298437</v>
          </cell>
          <cell r="O82">
            <v>4682.2817048560601</v>
          </cell>
          <cell r="P82">
            <v>3630.3801971169469</v>
          </cell>
          <cell r="Q82">
            <v>0.11345701574923271</v>
          </cell>
          <cell r="R82">
            <v>726.07603942338937</v>
          </cell>
          <cell r="S82">
            <v>314.18393622338937</v>
          </cell>
          <cell r="T82">
            <v>17.427298624530099</v>
          </cell>
          <cell r="U82" t="str">
            <v>Rokan</v>
          </cell>
          <cell r="V82">
            <v>197.01499999999999</v>
          </cell>
          <cell r="W82">
            <v>185.460957501477</v>
          </cell>
          <cell r="X82">
            <v>1</v>
          </cell>
          <cell r="Y82">
            <v>1</v>
          </cell>
          <cell r="Z82">
            <v>0.47757452438863501</v>
          </cell>
          <cell r="AA82">
            <v>0.47757452438863501</v>
          </cell>
          <cell r="AB82">
            <v>2</v>
          </cell>
          <cell r="AC82">
            <v>2</v>
          </cell>
          <cell r="AD82">
            <v>4</v>
          </cell>
          <cell r="AE82">
            <v>5</v>
          </cell>
          <cell r="AF82">
            <v>5</v>
          </cell>
          <cell r="AG82">
            <v>2</v>
          </cell>
          <cell r="AH82">
            <v>3.05</v>
          </cell>
          <cell r="AI82">
            <v>0.55000000000000004</v>
          </cell>
          <cell r="AJ82" t="str">
            <v>Tier 2 - subsurface / integrity review</v>
          </cell>
          <cell r="AK82" t="str">
            <v>SUSPENDED</v>
          </cell>
          <cell r="AL82" t="str">
            <v>CASED HOLE</v>
          </cell>
          <cell r="AM82" t="str">
            <v>ESP</v>
          </cell>
          <cell r="AN82" t="str">
            <v>GOOD</v>
          </cell>
          <cell r="AO82" t="str">
            <v>SHUT IN WELL I FILL up WATER TO s/Q TANK</v>
          </cell>
          <cell r="AP82" t="str">
            <v>Yes</v>
          </cell>
          <cell r="AQ82" t="str">
            <v>Well source folder found; digital-group classification absent</v>
          </cell>
          <cell r="AR82" t="str">
            <v>No standard-group gap identified in database</v>
          </cell>
          <cell r="AS82" t="str">
            <v>No usable 6_Prod workbook after recursive search</v>
          </cell>
          <cell r="AT82" t="str">
            <v>field+well-number; Value completion uses Formation evaluation completed; Candidate mapped to source well</v>
          </cell>
          <cell r="AU82" t="str">
            <v>No qualifying &gt;=5 ft NZBP interval in interpreted LAS</v>
          </cell>
          <cell r="AV82">
            <v>0</v>
          </cell>
          <cell r="AW82">
            <v>0</v>
          </cell>
          <cell r="AX82">
            <v>0</v>
          </cell>
          <cell r="AY82" t="str">
            <v>No qualifying &gt;=5 ft interval</v>
          </cell>
          <cell r="AZ82" t="str">
            <v>No qualifying &gt;=5 ft interval</v>
          </cell>
          <cell r="BA82" t="str">
            <v>No qualifying &gt;=5 ft interval</v>
          </cell>
          <cell r="BB82" t="str">
            <v>No qualifying &gt;=5 ft interval</v>
          </cell>
          <cell r="BC82" t="str">
            <v>No qualifying &gt;=5 ft interval</v>
          </cell>
          <cell r="BD82" t="str">
            <v>No qualifying &gt;=5 ft interval</v>
          </cell>
          <cell r="BE82">
            <v>0</v>
          </cell>
          <cell r="BF82" t="str">
            <v>Formation evaluation completed</v>
          </cell>
          <cell r="BG82" t="str">
            <v>D:\HALLIBURTON CONSULTING\Data Nations\Zona Rokan\DURI\DURI04285\5_Well_Log_Raw\DURI04285_Spinner_3R14B-R_D04285_22Sept11_HHI.las_Spinner_3R14B-R_D04285_22Sept11_HHI.las.las</v>
          </cell>
          <cell r="BH82" t="str">
            <v>MD used as TVD; no numeric deviation survey found</v>
          </cell>
          <cell r="BI82">
            <v>0</v>
          </cell>
          <cell r="BJ82" t="str">
            <v>No numeric horizontal proof</v>
          </cell>
          <cell r="BK82" t="str">
            <v>No coordinate evidence in source/LAS</v>
          </cell>
          <cell r="BL82" t="str">
            <v>No coordinate evidence in source/LAS</v>
          </cell>
          <cell r="BM82" t="str">
            <v>No coordinate evidence in source/LAS</v>
          </cell>
          <cell r="BN82" t="str">
            <v>No coordinate evidence in source/LAS</v>
          </cell>
          <cell r="BO82" t="str">
            <v>No coordinate evidence after source and LAS-header search</v>
          </cell>
        </row>
        <row r="83">
          <cell r="A83" t="str">
            <v>Duri-04288</v>
          </cell>
          <cell r="B83" t="str">
            <v>DURI04288</v>
          </cell>
          <cell r="C83" t="str">
            <v>DURI</v>
          </cell>
          <cell r="D83" t="str">
            <v>Duri</v>
          </cell>
          <cell r="E83">
            <v>20</v>
          </cell>
          <cell r="F83">
            <v>37</v>
          </cell>
          <cell r="G83">
            <v>0.64926872740180996</v>
          </cell>
          <cell r="H83">
            <v>411.89210320000001</v>
          </cell>
          <cell r="I83">
            <v>11.243418467438801</v>
          </cell>
          <cell r="J83">
            <v>0.34961619875136102</v>
          </cell>
          <cell r="K83">
            <v>656</v>
          </cell>
          <cell r="L83">
            <v>0.64854671038110201</v>
          </cell>
          <cell r="M83">
            <v>147.25</v>
          </cell>
          <cell r="N83">
            <v>1.1993932052298437</v>
          </cell>
          <cell r="O83">
            <v>4682.2817048560601</v>
          </cell>
          <cell r="P83">
            <v>3630.3801971169469</v>
          </cell>
          <cell r="Q83">
            <v>0.11345701574923271</v>
          </cell>
          <cell r="R83">
            <v>726.07603942338937</v>
          </cell>
          <cell r="S83">
            <v>314.18393622338937</v>
          </cell>
          <cell r="T83">
            <v>11.243418467438801</v>
          </cell>
          <cell r="U83" t="str">
            <v>Rokan</v>
          </cell>
          <cell r="V83">
            <v>152.84899999999999</v>
          </cell>
          <cell r="W83">
            <v>143.885094501146</v>
          </cell>
          <cell r="X83">
            <v>1</v>
          </cell>
          <cell r="Y83">
            <v>1</v>
          </cell>
          <cell r="Z83">
            <v>0.691625628654985</v>
          </cell>
          <cell r="AA83">
            <v>0.397142298449838</v>
          </cell>
          <cell r="AB83">
            <v>2</v>
          </cell>
          <cell r="AC83">
            <v>2</v>
          </cell>
          <cell r="AD83">
            <v>4</v>
          </cell>
          <cell r="AE83">
            <v>5</v>
          </cell>
          <cell r="AF83">
            <v>5</v>
          </cell>
          <cell r="AG83">
            <v>2</v>
          </cell>
          <cell r="AH83">
            <v>3.05</v>
          </cell>
          <cell r="AI83">
            <v>0.55000000000000004</v>
          </cell>
          <cell r="AJ83" t="str">
            <v>Tier 2 - subsurface / integrity review</v>
          </cell>
          <cell r="AK83" t="str">
            <v>SHUT IN</v>
          </cell>
          <cell r="AL83" t="str">
            <v>OPEN HOLE</v>
          </cell>
          <cell r="AM83" t="str">
            <v>ESP</v>
          </cell>
          <cell r="AN83" t="str">
            <v>good</v>
          </cell>
          <cell r="AO83" t="str">
            <v>SHUT IN WELL</v>
          </cell>
          <cell r="AP83" t="str">
            <v>Yes</v>
          </cell>
          <cell r="AQ83" t="str">
            <v>Well source folder found; digital-group classification absent</v>
          </cell>
          <cell r="AR83" t="str">
            <v>No standard-group gap identified in database</v>
          </cell>
          <cell r="AS83" t="str">
            <v>No usable 6_Prod workbook after recursive search</v>
          </cell>
          <cell r="AT83" t="str">
            <v>field+well-number; Value completion uses Formation evaluation completed; Candidate mapped to source well</v>
          </cell>
          <cell r="AU83" t="str">
            <v>No qualifying &gt;=5 ft NZBP interval in interpreted LAS</v>
          </cell>
          <cell r="AV83">
            <v>0</v>
          </cell>
          <cell r="AW83">
            <v>0</v>
          </cell>
          <cell r="AX83">
            <v>0</v>
          </cell>
          <cell r="AY83" t="str">
            <v>No qualifying &gt;=5 ft interval</v>
          </cell>
          <cell r="AZ83" t="str">
            <v>No qualifying &gt;=5 ft interval</v>
          </cell>
          <cell r="BA83" t="str">
            <v>No qualifying &gt;=5 ft interval</v>
          </cell>
          <cell r="BB83" t="str">
            <v>No qualifying &gt;=5 ft interval</v>
          </cell>
          <cell r="BC83" t="str">
            <v>No qualifying &gt;=5 ft interval</v>
          </cell>
          <cell r="BD83" t="str">
            <v>No qualifying &gt;=5 ft interval</v>
          </cell>
          <cell r="BE83">
            <v>0</v>
          </cell>
          <cell r="BF83" t="str">
            <v>Formation evaluation completed</v>
          </cell>
          <cell r="BG83" t="str">
            <v>D:\HALLIBURTON CONSULTING\Data Nations\Zona Rokan\DURI\DURI04288\5_Well_Log_Raw\DURI04288_Spinner_4Q71B-R_D4288_15Mar12_HHI.las_Spinner_4Q71B-R_D4288_15Mar12_HHI.las.las</v>
          </cell>
          <cell r="BH83" t="str">
            <v>MD used as TVD; no numeric deviation survey found</v>
          </cell>
          <cell r="BI83">
            <v>0</v>
          </cell>
          <cell r="BJ83" t="str">
            <v>No numeric horizontal proof</v>
          </cell>
          <cell r="BK83" t="str">
            <v>No coordinate evidence in source/LAS</v>
          </cell>
          <cell r="BL83" t="str">
            <v>No coordinate evidence in source/LAS</v>
          </cell>
          <cell r="BM83" t="str">
            <v>No coordinate evidence in source/LAS</v>
          </cell>
          <cell r="BN83" t="str">
            <v>No coordinate evidence in source/LAS</v>
          </cell>
          <cell r="BO83" t="str">
            <v>No coordinate evidence after source and LAS-header search</v>
          </cell>
        </row>
        <row r="84">
          <cell r="A84" t="str">
            <v>Duri-04290</v>
          </cell>
          <cell r="B84" t="str">
            <v>DURI04290</v>
          </cell>
          <cell r="C84" t="str">
            <v>DURI</v>
          </cell>
          <cell r="D84" t="str">
            <v>Duri</v>
          </cell>
          <cell r="E84">
            <v>31</v>
          </cell>
          <cell r="F84">
            <v>31</v>
          </cell>
          <cell r="G84">
            <v>0.64926872740180996</v>
          </cell>
          <cell r="H84">
            <v>411.89210320000001</v>
          </cell>
          <cell r="I84">
            <v>17.427298624530099</v>
          </cell>
          <cell r="J84">
            <v>0.34961619875136102</v>
          </cell>
          <cell r="K84">
            <v>656</v>
          </cell>
          <cell r="L84">
            <v>0.64854671038110201</v>
          </cell>
          <cell r="M84">
            <v>147.25</v>
          </cell>
          <cell r="N84">
            <v>1.1993932052298437</v>
          </cell>
          <cell r="O84">
            <v>4682.2817048560601</v>
          </cell>
          <cell r="P84">
            <v>3630.3801971169469</v>
          </cell>
          <cell r="Q84">
            <v>0.11345701574923271</v>
          </cell>
          <cell r="R84">
            <v>726.07603942338937</v>
          </cell>
          <cell r="S84">
            <v>314.18393622338937</v>
          </cell>
          <cell r="T84">
            <v>17.427298624530099</v>
          </cell>
          <cell r="U84" t="str">
            <v>Rokan</v>
          </cell>
          <cell r="V84">
            <v>154.58099999999999</v>
          </cell>
          <cell r="W84">
            <v>145.51552050115899</v>
          </cell>
          <cell r="X84">
            <v>1</v>
          </cell>
          <cell r="Y84">
            <v>1</v>
          </cell>
          <cell r="Z84">
            <v>0.60867341343649595</v>
          </cell>
          <cell r="AA84">
            <v>0.60867341343649595</v>
          </cell>
          <cell r="AB84">
            <v>2</v>
          </cell>
          <cell r="AC84">
            <v>2</v>
          </cell>
          <cell r="AD84">
            <v>4</v>
          </cell>
          <cell r="AE84">
            <v>5</v>
          </cell>
          <cell r="AF84">
            <v>5</v>
          </cell>
          <cell r="AG84">
            <v>3</v>
          </cell>
          <cell r="AH84">
            <v>3.2</v>
          </cell>
          <cell r="AI84">
            <v>0.55000000000000004</v>
          </cell>
          <cell r="AJ84" t="str">
            <v>Tier 2 - subsurface / integrity review</v>
          </cell>
          <cell r="AK84" t="str">
            <v>POP</v>
          </cell>
          <cell r="AL84" t="str">
            <v>OPEN HOLE</v>
          </cell>
          <cell r="AM84" t="str">
            <v>ESP</v>
          </cell>
          <cell r="AN84" t="str">
            <v>good</v>
          </cell>
          <cell r="AO84" t="str">
            <v>Shut in well</v>
          </cell>
          <cell r="AP84" t="str">
            <v>Yes</v>
          </cell>
          <cell r="AQ84" t="str">
            <v>Well source folder found; digital-group classification absent</v>
          </cell>
          <cell r="AR84" t="str">
            <v>No standard-group gap identified in database</v>
          </cell>
          <cell r="AS84" t="str">
            <v>No usable 6_Prod workbook after recursive search</v>
          </cell>
          <cell r="AT84" t="str">
            <v>field+well-number; Value completion uses Formation evaluation completed; Candidate mapped to source well</v>
          </cell>
          <cell r="AU84" t="str">
            <v>No qualifying &gt;=5 ft NZBP interval in interpreted LAS</v>
          </cell>
          <cell r="AV84">
            <v>0</v>
          </cell>
          <cell r="AW84">
            <v>0</v>
          </cell>
          <cell r="AX84">
            <v>0</v>
          </cell>
          <cell r="AY84" t="str">
            <v>No qualifying &gt;=5 ft interval</v>
          </cell>
          <cell r="AZ84" t="str">
            <v>No qualifying &gt;=5 ft interval</v>
          </cell>
          <cell r="BA84" t="str">
            <v>No qualifying &gt;=5 ft interval</v>
          </cell>
          <cell r="BB84" t="str">
            <v>No qualifying &gt;=5 ft interval</v>
          </cell>
          <cell r="BC84" t="str">
            <v>No qualifying &gt;=5 ft interval</v>
          </cell>
          <cell r="BD84" t="str">
            <v>No qualifying &gt;=5 ft interval</v>
          </cell>
          <cell r="BE84">
            <v>0</v>
          </cell>
          <cell r="BF84" t="str">
            <v>Formation evaluation completed</v>
          </cell>
          <cell r="BG84" t="str">
            <v>D:\HALLIBURTON CONSULTING\Data Nations\Zona Rokan\DURI\DURI04290\5_Well_Log_Raw\DURI04290_Spinner_3Q88C-R_D04290_21Sept11_HHI.LAS_Spinner_3Q88C-R_D04290_21Sept11_HHI.LAS.las</v>
          </cell>
          <cell r="BH84" t="str">
            <v>MD used as TVD; no numeric deviation survey found</v>
          </cell>
          <cell r="BI84">
            <v>0</v>
          </cell>
          <cell r="BJ84" t="str">
            <v>No numeric horizontal proof</v>
          </cell>
          <cell r="BK84" t="str">
            <v>No coordinate evidence in source/LAS</v>
          </cell>
          <cell r="BL84" t="str">
            <v>No coordinate evidence in source/LAS</v>
          </cell>
          <cell r="BM84" t="str">
            <v>No coordinate evidence in source/LAS</v>
          </cell>
          <cell r="BN84" t="str">
            <v>No coordinate evidence in source/LAS</v>
          </cell>
          <cell r="BO84" t="str">
            <v>No coordinate evidence after source and LAS-header search</v>
          </cell>
        </row>
        <row r="85">
          <cell r="A85" t="str">
            <v>Duri-04317</v>
          </cell>
          <cell r="B85" t="str">
            <v>DURI04317</v>
          </cell>
          <cell r="C85" t="str">
            <v>DURI</v>
          </cell>
          <cell r="D85" t="str">
            <v>Duri</v>
          </cell>
          <cell r="E85">
            <v>20</v>
          </cell>
          <cell r="F85">
            <v>37</v>
          </cell>
          <cell r="G85">
            <v>0.64926872740180996</v>
          </cell>
          <cell r="H85">
            <v>411.89210320000001</v>
          </cell>
          <cell r="I85">
            <v>11.243418467438801</v>
          </cell>
          <cell r="J85">
            <v>0.34961619875136102</v>
          </cell>
          <cell r="K85">
            <v>656</v>
          </cell>
          <cell r="L85">
            <v>0.64854671038110201</v>
          </cell>
          <cell r="M85">
            <v>147.25</v>
          </cell>
          <cell r="N85">
            <v>1.1993932052298437</v>
          </cell>
          <cell r="O85">
            <v>4682.2817048560601</v>
          </cell>
          <cell r="P85">
            <v>3630.3801971169469</v>
          </cell>
          <cell r="Q85">
            <v>0.11345701574923271</v>
          </cell>
          <cell r="R85">
            <v>726.07603942338937</v>
          </cell>
          <cell r="S85">
            <v>314.18393622338937</v>
          </cell>
          <cell r="T85">
            <v>11.243418467438801</v>
          </cell>
          <cell r="U85" t="str">
            <v>Rokan</v>
          </cell>
          <cell r="V85">
            <v>328.214</v>
          </cell>
          <cell r="W85">
            <v>308.96572700246003</v>
          </cell>
          <cell r="X85">
            <v>75</v>
          </cell>
          <cell r="Y85">
            <v>75</v>
          </cell>
          <cell r="Z85">
            <v>0.32208950780370599</v>
          </cell>
          <cell r="AA85">
            <v>0.184948854027431</v>
          </cell>
          <cell r="AB85">
            <v>2</v>
          </cell>
          <cell r="AC85">
            <v>2</v>
          </cell>
          <cell r="AD85">
            <v>4</v>
          </cell>
          <cell r="AE85">
            <v>5</v>
          </cell>
          <cell r="AF85">
            <v>2</v>
          </cell>
          <cell r="AG85">
            <v>1</v>
          </cell>
          <cell r="AH85">
            <v>2.4500000000000002</v>
          </cell>
          <cell r="AI85">
            <v>0.55000000000000004</v>
          </cell>
          <cell r="AJ85" t="str">
            <v>Tier 3 - acquire / validate critical data</v>
          </cell>
          <cell r="AK85" t="str">
            <v>SHUT IN</v>
          </cell>
          <cell r="AL85" t="str">
            <v>OPEN HOLE</v>
          </cell>
          <cell r="AM85" t="str">
            <v>ESP</v>
          </cell>
          <cell r="AN85" t="str">
            <v>Leak</v>
          </cell>
          <cell r="AO85" t="str">
            <v>SHUT IN WELL</v>
          </cell>
          <cell r="AP85" t="str">
            <v>Yes</v>
          </cell>
          <cell r="AQ85" t="str">
            <v>Well source folder found; digital-group classification absent</v>
          </cell>
          <cell r="AR85" t="str">
            <v>No standard-group gap identified in database</v>
          </cell>
          <cell r="AS85" t="str">
            <v>No usable 6_Prod workbook after recursive search</v>
          </cell>
          <cell r="AT85" t="str">
            <v>field+well-number; Value completion uses Formation evaluation completed; Candidate mapped to source well</v>
          </cell>
          <cell r="AU85" t="str">
            <v>No qualifying &gt;=5 ft NZBP interval in interpreted LAS</v>
          </cell>
          <cell r="AV85">
            <v>0</v>
          </cell>
          <cell r="AW85">
            <v>0</v>
          </cell>
          <cell r="AX85">
            <v>0</v>
          </cell>
          <cell r="AY85" t="str">
            <v>No qualifying &gt;=5 ft interval</v>
          </cell>
          <cell r="AZ85" t="str">
            <v>No qualifying &gt;=5 ft interval</v>
          </cell>
          <cell r="BA85" t="str">
            <v>No qualifying &gt;=5 ft interval</v>
          </cell>
          <cell r="BB85" t="str">
            <v>No qualifying &gt;=5 ft interval</v>
          </cell>
          <cell r="BC85" t="str">
            <v>No qualifying &gt;=5 ft interval</v>
          </cell>
          <cell r="BD85" t="str">
            <v>No qualifying &gt;=5 ft interval</v>
          </cell>
          <cell r="BE85">
            <v>0</v>
          </cell>
          <cell r="BF85" t="str">
            <v>Formation evaluation completed</v>
          </cell>
          <cell r="BG85" t="str">
            <v>D:\HALLIBURTON CONSULTING\Data Nations\Zona Rokan\DURI\DURI04317\5_Well_Log_Raw\254016775_DURI04317_T_141051_0.las</v>
          </cell>
          <cell r="BH85" t="str">
            <v>MD used as TVD; no numeric deviation survey found</v>
          </cell>
          <cell r="BI85">
            <v>0</v>
          </cell>
          <cell r="BJ85" t="str">
            <v>No numeric horizontal proof</v>
          </cell>
          <cell r="BK85" t="str">
            <v>No coordinate evidence in source/LAS</v>
          </cell>
          <cell r="BL85" t="str">
            <v>No coordinate evidence in source/LAS</v>
          </cell>
          <cell r="BM85" t="str">
            <v>No coordinate evidence in source/LAS</v>
          </cell>
          <cell r="BN85" t="str">
            <v>No coordinate evidence in source/LAS</v>
          </cell>
          <cell r="BO85" t="str">
            <v>No coordinate evidence after source and LAS-header search</v>
          </cell>
        </row>
        <row r="86">
          <cell r="A86" t="str">
            <v>Duri-04318</v>
          </cell>
          <cell r="B86" t="str">
            <v>UNRESOLVED - no exact source well folder</v>
          </cell>
          <cell r="C86" t="str">
            <v>DURI</v>
          </cell>
          <cell r="D86" t="str">
            <v>Duri</v>
          </cell>
          <cell r="E86">
            <v>20</v>
          </cell>
          <cell r="F86">
            <v>37</v>
          </cell>
          <cell r="G86">
            <v>0.64926872740180996</v>
          </cell>
          <cell r="H86">
            <v>411.89210320000001</v>
          </cell>
          <cell r="I86">
            <v>11.243418467438801</v>
          </cell>
          <cell r="J86">
            <v>0.34961619875136102</v>
          </cell>
          <cell r="K86">
            <v>656</v>
          </cell>
          <cell r="L86">
            <v>0.64854671038110201</v>
          </cell>
          <cell r="M86">
            <v>147.25</v>
          </cell>
          <cell r="N86">
            <v>1.1993932052298437</v>
          </cell>
          <cell r="O86">
            <v>4682.2817048560601</v>
          </cell>
          <cell r="P86">
            <v>3630.3801971169469</v>
          </cell>
          <cell r="Q86">
            <v>0.11345701574923271</v>
          </cell>
          <cell r="R86">
            <v>726.07603942338937</v>
          </cell>
          <cell r="S86">
            <v>314.18393622338937</v>
          </cell>
          <cell r="T86">
            <v>11.243418467438801</v>
          </cell>
          <cell r="U86" t="str">
            <v>Rokan</v>
          </cell>
          <cell r="V86">
            <v>1732</v>
          </cell>
          <cell r="W86">
            <v>1630.42600001298</v>
          </cell>
          <cell r="X86">
            <v>1</v>
          </cell>
          <cell r="Y86">
            <v>1</v>
          </cell>
          <cell r="Z86">
            <v>6.10359617288024E-2</v>
          </cell>
          <cell r="AA86">
            <v>3.5047807838198199E-2</v>
          </cell>
          <cell r="AB86">
            <v>2</v>
          </cell>
          <cell r="AC86">
            <v>2</v>
          </cell>
          <cell r="AD86">
            <v>4</v>
          </cell>
          <cell r="AE86">
            <v>5</v>
          </cell>
          <cell r="AF86">
            <v>5</v>
          </cell>
          <cell r="AG86">
            <v>1</v>
          </cell>
          <cell r="AH86">
            <v>2.9</v>
          </cell>
          <cell r="AI86">
            <v>0.05</v>
          </cell>
          <cell r="AJ86" t="str">
            <v>Tier 2 - subsurface / integrity review</v>
          </cell>
          <cell r="AK86" t="str">
            <v>SHUT IN</v>
          </cell>
          <cell r="AL86" t="str">
            <v>OPEN HOLE</v>
          </cell>
          <cell r="AM86" t="str">
            <v>ESP</v>
          </cell>
          <cell r="AN86" t="str">
            <v>good</v>
          </cell>
          <cell r="AO86" t="str">
            <v>SHUT IN WELL</v>
          </cell>
          <cell r="AP86" t="str">
            <v>Yes</v>
          </cell>
          <cell r="AQ86" t="str">
            <v>No exact source well folder</v>
          </cell>
          <cell r="AR86" t="str">
            <v>Exact well folder, digital LAS, production and test records</v>
          </cell>
          <cell r="AS86" t="str">
            <v>No usable 6_Prod workbook after recursive search</v>
          </cell>
          <cell r="AT86" t="str">
            <v>unmatched; Value completion uses no LAS evaluation; Field/regional proxies only</v>
          </cell>
          <cell r="AU86" t="str">
            <v>No LAS evaluation</v>
          </cell>
          <cell r="AV86">
            <v>0</v>
          </cell>
          <cell r="AW86">
            <v>0</v>
          </cell>
          <cell r="AX86">
            <v>0</v>
          </cell>
          <cell r="AY86" t="str">
            <v>Not calculable - no usable digital LAS</v>
          </cell>
          <cell r="AZ86" t="str">
            <v>Not calculable - no usable digital LAS</v>
          </cell>
          <cell r="BA86" t="str">
            <v>Not calculable - no usable digital LAS</v>
          </cell>
          <cell r="BB86" t="str">
            <v>Not calculable - no usable digital LAS</v>
          </cell>
          <cell r="BC86" t="str">
            <v>Not calculable - no usable digital LAS</v>
          </cell>
          <cell r="BD86" t="str">
            <v>Not calculable - no usable digital LAS</v>
          </cell>
          <cell r="BE86">
            <v>0</v>
          </cell>
          <cell r="BF86" t="str">
            <v>No LAS evaluation</v>
          </cell>
          <cell r="BG86" t="str">
            <v>No usable digital LAS source</v>
          </cell>
          <cell r="BH86" t="str">
            <v>No numeric trajectory source</v>
          </cell>
          <cell r="BI86" t="str">
            <v>No numeric inclination survey</v>
          </cell>
          <cell r="BJ86" t="str">
            <v>No numeric deviation proof</v>
          </cell>
          <cell r="BK86" t="str">
            <v>No coordinate evidence in source/LAS</v>
          </cell>
          <cell r="BL86" t="str">
            <v>No coordinate evidence in source/LAS</v>
          </cell>
          <cell r="BM86" t="str">
            <v>No coordinate evidence in source/LAS</v>
          </cell>
          <cell r="BN86" t="str">
            <v>No coordinate evidence in source/LAS</v>
          </cell>
          <cell r="BO86" t="str">
            <v>No coordinate evidence after source and LAS-header search</v>
          </cell>
        </row>
        <row r="87">
          <cell r="A87" t="str">
            <v>Duri-04319</v>
          </cell>
          <cell r="B87" t="str">
            <v>DURI04319</v>
          </cell>
          <cell r="C87" t="str">
            <v>DURI</v>
          </cell>
          <cell r="D87" t="str">
            <v>Duri</v>
          </cell>
          <cell r="E87">
            <v>20</v>
          </cell>
          <cell r="F87">
            <v>37</v>
          </cell>
          <cell r="G87">
            <v>0.64926872740180996</v>
          </cell>
          <cell r="H87">
            <v>411.89210320000001</v>
          </cell>
          <cell r="I87">
            <v>11.243418467438801</v>
          </cell>
          <cell r="J87">
            <v>0.34961619875136102</v>
          </cell>
          <cell r="K87">
            <v>656</v>
          </cell>
          <cell r="L87">
            <v>0.64854671038110201</v>
          </cell>
          <cell r="M87">
            <v>147.25</v>
          </cell>
          <cell r="N87">
            <v>1.1993932052298437</v>
          </cell>
          <cell r="O87">
            <v>4682.2817048560601</v>
          </cell>
          <cell r="P87">
            <v>3630.3801971169469</v>
          </cell>
          <cell r="Q87">
            <v>0.11345701574923271</v>
          </cell>
          <cell r="R87">
            <v>726.07603942338937</v>
          </cell>
          <cell r="S87">
            <v>314.18393622338937</v>
          </cell>
          <cell r="T87">
            <v>11.243418467438801</v>
          </cell>
          <cell r="U87" t="str">
            <v>Rokan</v>
          </cell>
          <cell r="V87">
            <v>206.541</v>
          </cell>
          <cell r="W87">
            <v>194.42830050154799</v>
          </cell>
          <cell r="X87">
            <v>1</v>
          </cell>
          <cell r="Y87">
            <v>1</v>
          </cell>
          <cell r="Z87">
            <v>0.51183196418282895</v>
          </cell>
          <cell r="AA87">
            <v>0.29390195252157802</v>
          </cell>
          <cell r="AB87">
            <v>2</v>
          </cell>
          <cell r="AC87">
            <v>2</v>
          </cell>
          <cell r="AD87">
            <v>4</v>
          </cell>
          <cell r="AE87">
            <v>5</v>
          </cell>
          <cell r="AF87">
            <v>5</v>
          </cell>
          <cell r="AG87">
            <v>2</v>
          </cell>
          <cell r="AH87">
            <v>3.05</v>
          </cell>
          <cell r="AI87">
            <v>0.35</v>
          </cell>
          <cell r="AJ87" t="str">
            <v>Tier 2 - subsurface / integrity review</v>
          </cell>
          <cell r="AK87" t="str">
            <v>SUSPENDED</v>
          </cell>
          <cell r="AL87" t="str">
            <v>OPEN HOLE</v>
          </cell>
          <cell r="AM87" t="str">
            <v>ESP</v>
          </cell>
          <cell r="AN87" t="str">
            <v>good</v>
          </cell>
          <cell r="AO87" t="str">
            <v>Shut In Well and Spot Dowell CTU + P truck</v>
          </cell>
          <cell r="AP87" t="str">
            <v>WELLHEAD</v>
          </cell>
          <cell r="AQ87" t="str">
            <v>Well source folder found; digital-group classification absent</v>
          </cell>
          <cell r="AR87" t="str">
            <v>No standard-group gap identified in database</v>
          </cell>
          <cell r="AS87" t="str">
            <v>No usable 6_Prod workbook after recursive search</v>
          </cell>
          <cell r="AT87" t="str">
            <v>field+well-number; Value completion uses No digital LAS found after recursive source search; Candidate mapped to source well</v>
          </cell>
          <cell r="AU87" t="str">
            <v>No digital LAS found after recursive source search</v>
          </cell>
          <cell r="AV87">
            <v>0</v>
          </cell>
          <cell r="AW87">
            <v>0</v>
          </cell>
          <cell r="AX87">
            <v>0</v>
          </cell>
          <cell r="AY87" t="str">
            <v>Not calculable - no usable digital LAS</v>
          </cell>
          <cell r="AZ87" t="str">
            <v>Not calculable - no usable digital LAS</v>
          </cell>
          <cell r="BA87" t="str">
            <v>Not calculable - no usable digital LAS</v>
          </cell>
          <cell r="BB87" t="str">
            <v>Not calculable - no usable digital LAS</v>
          </cell>
          <cell r="BC87" t="str">
            <v>Not calculable - no usable digital LAS</v>
          </cell>
          <cell r="BD87" t="str">
            <v>Not calculable - no usable digital LAS</v>
          </cell>
          <cell r="BE87">
            <v>0</v>
          </cell>
          <cell r="BF87" t="str">
            <v>No digital LAS found after recursive source search</v>
          </cell>
          <cell r="BG87" t="str">
            <v>No usable digital LAS source</v>
          </cell>
          <cell r="BH87" t="str">
            <v>No numeric trajectory source</v>
          </cell>
          <cell r="BI87" t="str">
            <v>No numeric inclination survey</v>
          </cell>
          <cell r="BJ87" t="str">
            <v>No numeric deviation proof</v>
          </cell>
          <cell r="BK87" t="str">
            <v>No coordinate evidence in source/LAS</v>
          </cell>
          <cell r="BL87" t="str">
            <v>No coordinate evidence in source/LAS</v>
          </cell>
          <cell r="BM87" t="str">
            <v>No coordinate evidence in source/LAS</v>
          </cell>
          <cell r="BN87" t="str">
            <v>No coordinate evidence in source/LAS</v>
          </cell>
          <cell r="BO87" t="str">
            <v>No coordinate evidence after source and LAS-header search</v>
          </cell>
        </row>
        <row r="88">
          <cell r="A88" t="str">
            <v>Duri-04323</v>
          </cell>
          <cell r="B88" t="str">
            <v>DURI04323</v>
          </cell>
          <cell r="C88" t="str">
            <v>DURI</v>
          </cell>
          <cell r="D88" t="str">
            <v>Duri</v>
          </cell>
          <cell r="E88">
            <v>10</v>
          </cell>
          <cell r="F88">
            <v>10</v>
          </cell>
          <cell r="G88">
            <v>0.64926872740180996</v>
          </cell>
          <cell r="H88">
            <v>411.89210320000001</v>
          </cell>
          <cell r="I88">
            <v>5.6217092337194003</v>
          </cell>
          <cell r="J88">
            <v>0.34961619875136102</v>
          </cell>
          <cell r="K88">
            <v>656</v>
          </cell>
          <cell r="L88">
            <v>0.64854671038110201</v>
          </cell>
          <cell r="M88">
            <v>147.25</v>
          </cell>
          <cell r="N88">
            <v>1.1993932052298437</v>
          </cell>
          <cell r="O88">
            <v>4682.2817048560601</v>
          </cell>
          <cell r="P88">
            <v>3630.3801971169469</v>
          </cell>
          <cell r="Q88">
            <v>0.11345701574923271</v>
          </cell>
          <cell r="R88">
            <v>726.07603942338937</v>
          </cell>
          <cell r="S88">
            <v>314.18393622338937</v>
          </cell>
          <cell r="T88">
            <v>5.6217092337194003</v>
          </cell>
          <cell r="U88" t="str">
            <v>Rokan</v>
          </cell>
          <cell r="V88">
            <v>166.27199999999999</v>
          </cell>
          <cell r="W88">
            <v>156.520896001246</v>
          </cell>
          <cell r="X88">
            <v>1</v>
          </cell>
          <cell r="Y88">
            <v>1</v>
          </cell>
          <cell r="Z88">
            <v>0.18254066582394901</v>
          </cell>
          <cell r="AA88">
            <v>0.18254066582394901</v>
          </cell>
          <cell r="AB88">
            <v>2</v>
          </cell>
          <cell r="AC88">
            <v>1</v>
          </cell>
          <cell r="AD88">
            <v>4</v>
          </cell>
          <cell r="AE88">
            <v>5</v>
          </cell>
          <cell r="AF88">
            <v>5</v>
          </cell>
          <cell r="AG88">
            <v>1</v>
          </cell>
          <cell r="AH88">
            <v>2.65</v>
          </cell>
          <cell r="AI88">
            <v>0.35</v>
          </cell>
          <cell r="AJ88" t="str">
            <v>Tier 2 - subsurface / integrity review</v>
          </cell>
          <cell r="AK88" t="str">
            <v>SHUT IN</v>
          </cell>
          <cell r="AL88" t="str">
            <v>OPEN HOLE</v>
          </cell>
          <cell r="AM88" t="str">
            <v>ESP</v>
          </cell>
          <cell r="AN88" t="str">
            <v>Leak</v>
          </cell>
          <cell r="AO88" t="str">
            <v>SHUT IN WELL</v>
          </cell>
          <cell r="AP88" t="str">
            <v>Yes</v>
          </cell>
          <cell r="AQ88" t="str">
            <v>Well source folder found; digital-group classification absent</v>
          </cell>
          <cell r="AR88" t="str">
            <v>No standard-group gap identified in database</v>
          </cell>
          <cell r="AS88" t="str">
            <v>No usable 6_Prod workbook after recursive search</v>
          </cell>
          <cell r="AT88" t="str">
            <v>field+well-number; Value completion uses No digital LAS found after recursive source search; Candidate mapped to source well</v>
          </cell>
          <cell r="AU88" t="str">
            <v>No digital LAS found after recursive source search</v>
          </cell>
          <cell r="AV88">
            <v>0</v>
          </cell>
          <cell r="AW88">
            <v>0</v>
          </cell>
          <cell r="AX88">
            <v>0</v>
          </cell>
          <cell r="AY88" t="str">
            <v>Not calculable - no usable digital LAS</v>
          </cell>
          <cell r="AZ88" t="str">
            <v>Not calculable - no usable digital LAS</v>
          </cell>
          <cell r="BA88" t="str">
            <v>Not calculable - no usable digital LAS</v>
          </cell>
          <cell r="BB88" t="str">
            <v>Not calculable - no usable digital LAS</v>
          </cell>
          <cell r="BC88" t="str">
            <v>Not calculable - no usable digital LAS</v>
          </cell>
          <cell r="BD88" t="str">
            <v>Not calculable - no usable digital LAS</v>
          </cell>
          <cell r="BE88">
            <v>0</v>
          </cell>
          <cell r="BF88" t="str">
            <v>No digital LAS found after recursive source search</v>
          </cell>
          <cell r="BG88" t="str">
            <v>No usable digital LAS source</v>
          </cell>
          <cell r="BH88" t="str">
            <v>No numeric trajectory source</v>
          </cell>
          <cell r="BI88" t="str">
            <v>No numeric inclination survey</v>
          </cell>
          <cell r="BJ88" t="str">
            <v>No numeric deviation proof</v>
          </cell>
          <cell r="BK88" t="str">
            <v>No coordinate evidence in source/LAS</v>
          </cell>
          <cell r="BL88" t="str">
            <v>No coordinate evidence in source/LAS</v>
          </cell>
          <cell r="BM88" t="str">
            <v>No coordinate evidence in source/LAS</v>
          </cell>
          <cell r="BN88" t="str">
            <v>No coordinate evidence in source/LAS</v>
          </cell>
          <cell r="BO88" t="str">
            <v>No coordinate evidence after source and LAS-header search</v>
          </cell>
        </row>
        <row r="89">
          <cell r="A89" t="str">
            <v>Duri-04332</v>
          </cell>
          <cell r="B89" t="str">
            <v>DURI04332</v>
          </cell>
          <cell r="C89" t="str">
            <v>DURI</v>
          </cell>
          <cell r="D89" t="str">
            <v>Duri</v>
          </cell>
          <cell r="E89">
            <v>31</v>
          </cell>
          <cell r="F89">
            <v>31</v>
          </cell>
          <cell r="G89">
            <v>0.64926872740180996</v>
          </cell>
          <cell r="H89">
            <v>411.89210320000001</v>
          </cell>
          <cell r="I89">
            <v>17.427298624530099</v>
          </cell>
          <cell r="J89">
            <v>0.34961619875136102</v>
          </cell>
          <cell r="K89">
            <v>656</v>
          </cell>
          <cell r="L89">
            <v>0.64854671038110201</v>
          </cell>
          <cell r="M89">
            <v>147.25</v>
          </cell>
          <cell r="N89">
            <v>1.1993932052298437</v>
          </cell>
          <cell r="O89">
            <v>4682.2817048560601</v>
          </cell>
          <cell r="P89">
            <v>3630.3801971169469</v>
          </cell>
          <cell r="Q89">
            <v>0.11345701574923271</v>
          </cell>
          <cell r="R89">
            <v>726.07603942338937</v>
          </cell>
          <cell r="S89">
            <v>314.18393622338937</v>
          </cell>
          <cell r="T89">
            <v>17.427298624530099</v>
          </cell>
          <cell r="U89" t="str">
            <v>Rokan</v>
          </cell>
          <cell r="V89">
            <v>1732</v>
          </cell>
          <cell r="W89">
            <v>1630.42600001298</v>
          </cell>
          <cell r="X89">
            <v>1</v>
          </cell>
          <cell r="Y89">
            <v>1</v>
          </cell>
          <cell r="Z89">
            <v>5.4324102149207201E-2</v>
          </cell>
          <cell r="AA89">
            <v>5.4324102149207201E-2</v>
          </cell>
          <cell r="AB89">
            <v>2</v>
          </cell>
          <cell r="AC89">
            <v>2</v>
          </cell>
          <cell r="AD89">
            <v>4</v>
          </cell>
          <cell r="AE89">
            <v>5</v>
          </cell>
          <cell r="AF89">
            <v>5</v>
          </cell>
          <cell r="AG89">
            <v>1</v>
          </cell>
          <cell r="AH89">
            <v>2.9</v>
          </cell>
          <cell r="AI89">
            <v>0.35</v>
          </cell>
          <cell r="AJ89" t="str">
            <v>Tier 2 - subsurface / integrity review</v>
          </cell>
          <cell r="AK89" t="str">
            <v>SHUT IN</v>
          </cell>
          <cell r="AL89" t="str">
            <v>OPEN HOLE</v>
          </cell>
          <cell r="AM89" t="str">
            <v>ESP</v>
          </cell>
          <cell r="AN89" t="str">
            <v>good</v>
          </cell>
          <cell r="AO89" t="str">
            <v>SHUT IN WELL</v>
          </cell>
          <cell r="AP89" t="str">
            <v>WELLHEAD</v>
          </cell>
          <cell r="AQ89" t="str">
            <v>Well source folder found; digital-group classification absent</v>
          </cell>
          <cell r="AR89" t="str">
            <v>No standard-group gap identified in database</v>
          </cell>
          <cell r="AS89" t="str">
            <v>No usable 6_Prod workbook after recursive search</v>
          </cell>
          <cell r="AT89" t="str">
            <v>field+well-number; Value completion uses No digital LAS found after recursive source search; Candidate mapped to source well</v>
          </cell>
          <cell r="AU89" t="str">
            <v>No digital LAS found after recursive source search</v>
          </cell>
          <cell r="AV89">
            <v>0</v>
          </cell>
          <cell r="AW89">
            <v>0</v>
          </cell>
          <cell r="AX89">
            <v>0</v>
          </cell>
          <cell r="AY89" t="str">
            <v>Not calculable - no usable digital LAS</v>
          </cell>
          <cell r="AZ89" t="str">
            <v>Not calculable - no usable digital LAS</v>
          </cell>
          <cell r="BA89" t="str">
            <v>Not calculable - no usable digital LAS</v>
          </cell>
          <cell r="BB89" t="str">
            <v>Not calculable - no usable digital LAS</v>
          </cell>
          <cell r="BC89" t="str">
            <v>Not calculable - no usable digital LAS</v>
          </cell>
          <cell r="BD89" t="str">
            <v>Not calculable - no usable digital LAS</v>
          </cell>
          <cell r="BE89">
            <v>0</v>
          </cell>
          <cell r="BF89" t="str">
            <v>No digital LAS found after recursive source search</v>
          </cell>
          <cell r="BG89" t="str">
            <v>No usable digital LAS source</v>
          </cell>
          <cell r="BH89" t="str">
            <v>No numeric trajectory source</v>
          </cell>
          <cell r="BI89" t="str">
            <v>No numeric inclination survey</v>
          </cell>
          <cell r="BJ89" t="str">
            <v>No numeric deviation proof</v>
          </cell>
          <cell r="BK89" t="str">
            <v>No coordinate evidence in source/LAS</v>
          </cell>
          <cell r="BL89" t="str">
            <v>No coordinate evidence in source/LAS</v>
          </cell>
          <cell r="BM89" t="str">
            <v>No coordinate evidence in source/LAS</v>
          </cell>
          <cell r="BN89" t="str">
            <v>No coordinate evidence in source/LAS</v>
          </cell>
          <cell r="BO89" t="str">
            <v>No coordinate evidence after source and LAS-header search</v>
          </cell>
        </row>
        <row r="90">
          <cell r="A90" t="str">
            <v>Duri-04831</v>
          </cell>
          <cell r="B90" t="str">
            <v>DURI04831</v>
          </cell>
          <cell r="C90" t="str">
            <v>DURI</v>
          </cell>
          <cell r="D90" t="str">
            <v>Duri</v>
          </cell>
          <cell r="E90">
            <v>20</v>
          </cell>
          <cell r="F90">
            <v>37</v>
          </cell>
          <cell r="G90">
            <v>0.64926872740180996</v>
          </cell>
          <cell r="H90">
            <v>411.89210320000001</v>
          </cell>
          <cell r="I90">
            <v>11.243418467438801</v>
          </cell>
          <cell r="J90">
            <v>0.34961619875136102</v>
          </cell>
          <cell r="K90">
            <v>656</v>
          </cell>
          <cell r="L90">
            <v>0.64854671038110201</v>
          </cell>
          <cell r="M90">
            <v>147.25</v>
          </cell>
          <cell r="N90">
            <v>1.1993932052298437</v>
          </cell>
          <cell r="O90">
            <v>4682.2817048560601</v>
          </cell>
          <cell r="P90">
            <v>3630.3801971169469</v>
          </cell>
          <cell r="Q90">
            <v>0.11345701574923271</v>
          </cell>
          <cell r="R90">
            <v>726.07603942338937</v>
          </cell>
          <cell r="S90">
            <v>314.18393622338937</v>
          </cell>
          <cell r="T90">
            <v>11.243418467438801</v>
          </cell>
          <cell r="U90" t="str">
            <v>Rokan</v>
          </cell>
          <cell r="V90">
            <v>1732</v>
          </cell>
          <cell r="W90">
            <v>1630.42600001298</v>
          </cell>
          <cell r="X90">
            <v>1</v>
          </cell>
          <cell r="Y90">
            <v>1</v>
          </cell>
          <cell r="Z90">
            <v>6.10359617288024E-2</v>
          </cell>
          <cell r="AA90">
            <v>3.5047807838198199E-2</v>
          </cell>
          <cell r="AB90">
            <v>2</v>
          </cell>
          <cell r="AC90">
            <v>2</v>
          </cell>
          <cell r="AD90">
            <v>4</v>
          </cell>
          <cell r="AE90">
            <v>5</v>
          </cell>
          <cell r="AF90">
            <v>5</v>
          </cell>
          <cell r="AG90">
            <v>1</v>
          </cell>
          <cell r="AH90">
            <v>2.9</v>
          </cell>
          <cell r="AI90">
            <v>0.35</v>
          </cell>
          <cell r="AJ90" t="str">
            <v>Tier 2 - subsurface / integrity review</v>
          </cell>
          <cell r="AK90" t="str">
            <v>SHUT IN</v>
          </cell>
          <cell r="AL90" t="str">
            <v>OPEN HOLE</v>
          </cell>
          <cell r="AM90" t="str">
            <v>ESP</v>
          </cell>
          <cell r="AN90" t="str">
            <v>good</v>
          </cell>
          <cell r="AO90" t="str">
            <v>SHUT IN WELL</v>
          </cell>
          <cell r="AP90" t="str">
            <v>Yes</v>
          </cell>
          <cell r="AQ90" t="str">
            <v>Well source folder found; digital-group classification absent</v>
          </cell>
          <cell r="AR90" t="str">
            <v>No standard-group gap identified in database</v>
          </cell>
          <cell r="AS90" t="str">
            <v>No usable 6_Prod workbook after recursive search</v>
          </cell>
          <cell r="AT90" t="str">
            <v>field+well-number; Value completion uses No digital LAS found after recursive source search; Candidate mapped to source well</v>
          </cell>
          <cell r="AU90" t="str">
            <v>No digital LAS found after recursive source search</v>
          </cell>
          <cell r="AV90">
            <v>0</v>
          </cell>
          <cell r="AW90">
            <v>0</v>
          </cell>
          <cell r="AX90">
            <v>0</v>
          </cell>
          <cell r="AY90" t="str">
            <v>Not calculable - no usable digital LAS</v>
          </cell>
          <cell r="AZ90" t="str">
            <v>Not calculable - no usable digital LAS</v>
          </cell>
          <cell r="BA90" t="str">
            <v>Not calculable - no usable digital LAS</v>
          </cell>
          <cell r="BB90" t="str">
            <v>Not calculable - no usable digital LAS</v>
          </cell>
          <cell r="BC90" t="str">
            <v>Not calculable - no usable digital LAS</v>
          </cell>
          <cell r="BD90" t="str">
            <v>Not calculable - no usable digital LAS</v>
          </cell>
          <cell r="BE90">
            <v>0</v>
          </cell>
          <cell r="BF90" t="str">
            <v>No digital LAS found after recursive source search</v>
          </cell>
          <cell r="BG90" t="str">
            <v>No usable digital LAS source</v>
          </cell>
          <cell r="BH90" t="str">
            <v>No numeric trajectory source</v>
          </cell>
          <cell r="BI90" t="str">
            <v>No numeric inclination survey</v>
          </cell>
          <cell r="BJ90" t="str">
            <v>No numeric deviation proof</v>
          </cell>
          <cell r="BK90" t="str">
            <v>No coordinate evidence in source/LAS</v>
          </cell>
          <cell r="BL90" t="str">
            <v>No coordinate evidence in source/LAS</v>
          </cell>
          <cell r="BM90" t="str">
            <v>No coordinate evidence in source/LAS</v>
          </cell>
          <cell r="BN90" t="str">
            <v>No coordinate evidence in source/LAS</v>
          </cell>
          <cell r="BO90" t="str">
            <v>No coordinate evidence after source and LAS-header search</v>
          </cell>
        </row>
        <row r="91">
          <cell r="A91" t="str">
            <v>Duri-04862</v>
          </cell>
          <cell r="B91" t="str">
            <v>DURI04862</v>
          </cell>
          <cell r="C91" t="str">
            <v>DURI</v>
          </cell>
          <cell r="D91" t="str">
            <v>Duri</v>
          </cell>
          <cell r="E91">
            <v>5</v>
          </cell>
          <cell r="F91">
            <v>502</v>
          </cell>
          <cell r="G91">
            <v>0.64926872740180996</v>
          </cell>
          <cell r="H91">
            <v>411.89210320000001</v>
          </cell>
          <cell r="I91">
            <v>2.8108546168597002</v>
          </cell>
          <cell r="J91">
            <v>0.34961619875136102</v>
          </cell>
          <cell r="K91">
            <v>656</v>
          </cell>
          <cell r="L91">
            <v>0.64854671038110201</v>
          </cell>
          <cell r="M91">
            <v>147.25</v>
          </cell>
          <cell r="N91">
            <v>1.1993932052298437</v>
          </cell>
          <cell r="O91">
            <v>4682.2817048560601</v>
          </cell>
          <cell r="P91">
            <v>3630.3801971169469</v>
          </cell>
          <cell r="Q91">
            <v>0.11345701574923271</v>
          </cell>
          <cell r="R91">
            <v>726.07603942338937</v>
          </cell>
          <cell r="S91">
            <v>314.18393622338937</v>
          </cell>
          <cell r="T91">
            <v>2.8108546168597002</v>
          </cell>
          <cell r="U91" t="str">
            <v>Rokan</v>
          </cell>
          <cell r="V91">
            <v>212.60300000000001</v>
          </cell>
          <cell r="W91">
            <v>200.13479150159301</v>
          </cell>
          <cell r="X91">
            <v>1</v>
          </cell>
          <cell r="Y91">
            <v>1</v>
          </cell>
          <cell r="Z91">
            <v>6.74630985586146</v>
          </cell>
          <cell r="AA91">
            <v>7.1380464028916901E-2</v>
          </cell>
          <cell r="AB91">
            <v>1</v>
          </cell>
          <cell r="AC91">
            <v>1</v>
          </cell>
          <cell r="AD91">
            <v>4</v>
          </cell>
          <cell r="AE91">
            <v>5</v>
          </cell>
          <cell r="AF91">
            <v>5</v>
          </cell>
          <cell r="AG91">
            <v>1</v>
          </cell>
          <cell r="AH91">
            <v>2.4</v>
          </cell>
          <cell r="AI91">
            <v>0.35</v>
          </cell>
          <cell r="AJ91" t="str">
            <v>Tier 3 - acquire / validate critical data</v>
          </cell>
          <cell r="AK91" t="str">
            <v>POP</v>
          </cell>
          <cell r="AL91" t="str">
            <v>OPEN HOLE</v>
          </cell>
          <cell r="AM91" t="str">
            <v>ESP</v>
          </cell>
          <cell r="AN91" t="str">
            <v>good</v>
          </cell>
          <cell r="AO91" t="str">
            <v>SHUT IN WELL</v>
          </cell>
          <cell r="AP91" t="str">
            <v>Yes</v>
          </cell>
          <cell r="AQ91" t="str">
            <v>Well source folder found; digital-group classification absent</v>
          </cell>
          <cell r="AR91" t="str">
            <v>No standard-group gap identified in database</v>
          </cell>
          <cell r="AS91" t="str">
            <v>No usable 6_Prod workbook after recursive search</v>
          </cell>
          <cell r="AT91" t="str">
            <v>field+well-number; Value completion uses No digital LAS found after recursive source search; Candidate mapped to source well</v>
          </cell>
          <cell r="AU91" t="str">
            <v>No digital LAS found after recursive source search</v>
          </cell>
          <cell r="AV91">
            <v>0</v>
          </cell>
          <cell r="AW91">
            <v>0</v>
          </cell>
          <cell r="AX91">
            <v>0</v>
          </cell>
          <cell r="AY91" t="str">
            <v>Not calculable - no usable digital LAS</v>
          </cell>
          <cell r="AZ91" t="str">
            <v>Not calculable - no usable digital LAS</v>
          </cell>
          <cell r="BA91" t="str">
            <v>Not calculable - no usable digital LAS</v>
          </cell>
          <cell r="BB91" t="str">
            <v>Not calculable - no usable digital LAS</v>
          </cell>
          <cell r="BC91" t="str">
            <v>Not calculable - no usable digital LAS</v>
          </cell>
          <cell r="BD91" t="str">
            <v>Not calculable - no usable digital LAS</v>
          </cell>
          <cell r="BE91">
            <v>0</v>
          </cell>
          <cell r="BF91" t="str">
            <v>No digital LAS found after recursive source search</v>
          </cell>
          <cell r="BG91" t="str">
            <v>No usable digital LAS source</v>
          </cell>
          <cell r="BH91" t="str">
            <v>No numeric trajectory source</v>
          </cell>
          <cell r="BI91" t="str">
            <v>No numeric inclination survey</v>
          </cell>
          <cell r="BJ91" t="str">
            <v>No numeric deviation proof</v>
          </cell>
          <cell r="BK91" t="str">
            <v>No coordinate evidence in source/LAS</v>
          </cell>
          <cell r="BL91" t="str">
            <v>No coordinate evidence in source/LAS</v>
          </cell>
          <cell r="BM91" t="str">
            <v>No coordinate evidence in source/LAS</v>
          </cell>
          <cell r="BN91" t="str">
            <v>No coordinate evidence in source/LAS</v>
          </cell>
          <cell r="BO91" t="str">
            <v>No coordinate evidence after source and LAS-header search</v>
          </cell>
        </row>
        <row r="92">
          <cell r="A92" t="str">
            <v>Duri-04864</v>
          </cell>
          <cell r="B92" t="str">
            <v>DURI04864</v>
          </cell>
          <cell r="C92" t="str">
            <v>DURI</v>
          </cell>
          <cell r="D92" t="str">
            <v>Duri</v>
          </cell>
          <cell r="E92">
            <v>20</v>
          </cell>
          <cell r="F92">
            <v>37</v>
          </cell>
          <cell r="G92">
            <v>0.64926872740180996</v>
          </cell>
          <cell r="H92">
            <v>411.89210320000001</v>
          </cell>
          <cell r="I92">
            <v>11.243418467438801</v>
          </cell>
          <cell r="J92">
            <v>0.34961619875136102</v>
          </cell>
          <cell r="K92">
            <v>656</v>
          </cell>
          <cell r="L92">
            <v>0.64854671038110201</v>
          </cell>
          <cell r="M92">
            <v>147.25</v>
          </cell>
          <cell r="N92">
            <v>1.1993932052298437</v>
          </cell>
          <cell r="O92">
            <v>4682.2817048560601</v>
          </cell>
          <cell r="P92">
            <v>3630.3801971169469</v>
          </cell>
          <cell r="Q92">
            <v>0.11345701574923271</v>
          </cell>
          <cell r="R92">
            <v>726.07603942338937</v>
          </cell>
          <cell r="S92">
            <v>314.18393622338937</v>
          </cell>
          <cell r="T92">
            <v>11.243418467438801</v>
          </cell>
          <cell r="U92" t="str">
            <v>Rokan</v>
          </cell>
          <cell r="V92">
            <v>1229.4168999999999</v>
          </cell>
          <cell r="W92">
            <v>1157.31713545921</v>
          </cell>
          <cell r="X92">
            <v>1</v>
          </cell>
          <cell r="Y92">
            <v>1</v>
          </cell>
          <cell r="Z92">
            <v>8.5987337342024295E-2</v>
          </cell>
          <cell r="AA92">
            <v>4.93752795945454E-2</v>
          </cell>
          <cell r="AB92">
            <v>2</v>
          </cell>
          <cell r="AC92">
            <v>2</v>
          </cell>
          <cell r="AD92">
            <v>4</v>
          </cell>
          <cell r="AE92">
            <v>5</v>
          </cell>
          <cell r="AF92">
            <v>5</v>
          </cell>
          <cell r="AG92">
            <v>1</v>
          </cell>
          <cell r="AH92">
            <v>2.9</v>
          </cell>
          <cell r="AI92">
            <v>0.75</v>
          </cell>
          <cell r="AJ92" t="str">
            <v>Tier 2 - subsurface / integrity review</v>
          </cell>
          <cell r="AK92" t="str">
            <v>SUSPENDED</v>
          </cell>
          <cell r="AL92" t="str">
            <v>OPEN HOLE</v>
          </cell>
          <cell r="AM92" t="str">
            <v>ESP</v>
          </cell>
          <cell r="AN92" t="str">
            <v>good</v>
          </cell>
          <cell r="AO92" t="str">
            <v>Shut In Well 'and epot All Saat</v>
          </cell>
          <cell r="AP92" t="str">
            <v>WHC</v>
          </cell>
          <cell r="AQ92" t="str">
            <v>Well source folder found; digital-group classification absent</v>
          </cell>
          <cell r="AR92" t="str">
            <v>No standard-group gap identified in database</v>
          </cell>
          <cell r="AS92" t="str">
            <v>No usable 6_Prod workbook after recursive search</v>
          </cell>
          <cell r="AT92" t="str">
            <v>field+well-number; Value completion uses Formation evaluation completed; Candidate mapped to source well</v>
          </cell>
          <cell r="AU92" t="str">
            <v>No qualifying &gt;=5 ft NZBP interval in interpreted LAS</v>
          </cell>
          <cell r="AV92">
            <v>0</v>
          </cell>
          <cell r="AW92">
            <v>0</v>
          </cell>
          <cell r="AX92">
            <v>0</v>
          </cell>
          <cell r="AY92" t="str">
            <v>No qualifying &gt;=5 ft interval</v>
          </cell>
          <cell r="AZ92" t="str">
            <v>No qualifying &gt;=5 ft interval</v>
          </cell>
          <cell r="BA92" t="str">
            <v>No qualifying &gt;=5 ft interval</v>
          </cell>
          <cell r="BB92" t="str">
            <v>No qualifying &gt;=5 ft interval</v>
          </cell>
          <cell r="BC92" t="str">
            <v>No qualifying &gt;=5 ft interval</v>
          </cell>
          <cell r="BD92" t="str">
            <v>No qualifying &gt;=5 ft interval</v>
          </cell>
          <cell r="BE92">
            <v>1</v>
          </cell>
          <cell r="BF92" t="str">
            <v>Formation evaluation completed</v>
          </cell>
          <cell r="BG92" t="str">
            <v>D:\HALLIBURTON CONSULTING\Data Nations\Zona Rokan\DURI\DURI04864\DURI04864\5_Well_Log_Raw\705319328_PRESS_350_DURI04864_3DEC17_R1_HLS.las</v>
          </cell>
          <cell r="BH92" t="str">
            <v>MD used as TVD; no numeric deviation survey found</v>
          </cell>
          <cell r="BI92">
            <v>0</v>
          </cell>
          <cell r="BJ92" t="str">
            <v>No numeric horizontal proof</v>
          </cell>
          <cell r="BK92">
            <v>1.3240879999999999</v>
          </cell>
          <cell r="BL92">
            <v>101.256203</v>
          </cell>
          <cell r="BM92">
            <v>751057.57634570997</v>
          </cell>
          <cell r="BN92">
            <v>146466.03750179999</v>
          </cell>
          <cell r="BO92" t="str">
            <v>WGS84 / LAS header</v>
          </cell>
        </row>
        <row r="93">
          <cell r="A93" t="str">
            <v>Duri-04867</v>
          </cell>
          <cell r="B93" t="str">
            <v>DURI04867</v>
          </cell>
          <cell r="C93" t="str">
            <v>DURI</v>
          </cell>
          <cell r="D93" t="str">
            <v>Duri</v>
          </cell>
          <cell r="E93">
            <v>20</v>
          </cell>
          <cell r="F93">
            <v>37</v>
          </cell>
          <cell r="G93">
            <v>0.64926872740180996</v>
          </cell>
          <cell r="H93">
            <v>411.89210320000001</v>
          </cell>
          <cell r="I93">
            <v>11.243418467438801</v>
          </cell>
          <cell r="J93">
            <v>0.34961619875136102</v>
          </cell>
          <cell r="K93">
            <v>656</v>
          </cell>
          <cell r="L93">
            <v>0.64854671038110201</v>
          </cell>
          <cell r="M93">
            <v>147.25</v>
          </cell>
          <cell r="N93">
            <v>1.1993932052298437</v>
          </cell>
          <cell r="O93">
            <v>4682.2817048560601</v>
          </cell>
          <cell r="P93">
            <v>3630.3801971169469</v>
          </cell>
          <cell r="Q93">
            <v>0.11345701574923271</v>
          </cell>
          <cell r="R93">
            <v>726.07603942338937</v>
          </cell>
          <cell r="S93">
            <v>314.18393622338937</v>
          </cell>
          <cell r="T93">
            <v>11.243418467438801</v>
          </cell>
          <cell r="U93" t="str">
            <v>Rokan</v>
          </cell>
          <cell r="V93">
            <v>226.892</v>
          </cell>
          <cell r="W93">
            <v>213.585806001701</v>
          </cell>
          <cell r="X93">
            <v>1</v>
          </cell>
          <cell r="Y93">
            <v>1</v>
          </cell>
          <cell r="Z93">
            <v>0.46592337197559103</v>
          </cell>
          <cell r="AA93">
            <v>0.26754051784884098</v>
          </cell>
          <cell r="AB93">
            <v>2</v>
          </cell>
          <cell r="AC93">
            <v>2</v>
          </cell>
          <cell r="AD93">
            <v>4</v>
          </cell>
          <cell r="AE93">
            <v>5</v>
          </cell>
          <cell r="AF93">
            <v>5</v>
          </cell>
          <cell r="AG93">
            <v>2</v>
          </cell>
          <cell r="AH93">
            <v>3.05</v>
          </cell>
          <cell r="AI93">
            <v>0.35</v>
          </cell>
          <cell r="AJ93" t="str">
            <v>Tier 2 - subsurface / integrity review</v>
          </cell>
          <cell r="AK93" t="str">
            <v>SUSPENDED</v>
          </cell>
          <cell r="AL93" t="str">
            <v>CASED HOLE</v>
          </cell>
          <cell r="AM93" t="str">
            <v>ESP</v>
          </cell>
          <cell r="AN93" t="str">
            <v>good</v>
          </cell>
          <cell r="AO93" t="str">
            <v>SHUT IN WELL</v>
          </cell>
          <cell r="AP93" t="str">
            <v>Yes</v>
          </cell>
          <cell r="AQ93" t="str">
            <v>Well source folder found; digital-group classification absent</v>
          </cell>
          <cell r="AR93" t="str">
            <v>No standard-group gap identified in database</v>
          </cell>
          <cell r="AS93" t="str">
            <v>No usable 6_Prod workbook after recursive search</v>
          </cell>
          <cell r="AT93" t="str">
            <v>field+well-number; Value completion uses No digital LAS found after recursive source search; Candidate mapped to source well</v>
          </cell>
          <cell r="AU93" t="str">
            <v>No digital LAS found after recursive source search</v>
          </cell>
          <cell r="AV93">
            <v>0</v>
          </cell>
          <cell r="AW93">
            <v>0</v>
          </cell>
          <cell r="AX93">
            <v>0</v>
          </cell>
          <cell r="AY93" t="str">
            <v>Not calculable - no usable digital LAS</v>
          </cell>
          <cell r="AZ93" t="str">
            <v>Not calculable - no usable digital LAS</v>
          </cell>
          <cell r="BA93" t="str">
            <v>Not calculable - no usable digital LAS</v>
          </cell>
          <cell r="BB93" t="str">
            <v>Not calculable - no usable digital LAS</v>
          </cell>
          <cell r="BC93" t="str">
            <v>Not calculable - no usable digital LAS</v>
          </cell>
          <cell r="BD93" t="str">
            <v>Not calculable - no usable digital LAS</v>
          </cell>
          <cell r="BE93">
            <v>0</v>
          </cell>
          <cell r="BF93" t="str">
            <v>No digital LAS found after recursive source search</v>
          </cell>
          <cell r="BG93" t="str">
            <v>No usable digital LAS source</v>
          </cell>
          <cell r="BH93" t="str">
            <v>No numeric trajectory source</v>
          </cell>
          <cell r="BI93" t="str">
            <v>No numeric inclination survey</v>
          </cell>
          <cell r="BJ93" t="str">
            <v>No numeric deviation proof</v>
          </cell>
          <cell r="BK93" t="str">
            <v>No coordinate evidence in source/LAS</v>
          </cell>
          <cell r="BL93" t="str">
            <v>No coordinate evidence in source/LAS</v>
          </cell>
          <cell r="BM93" t="str">
            <v>No coordinate evidence in source/LAS</v>
          </cell>
          <cell r="BN93" t="str">
            <v>No coordinate evidence in source/LAS</v>
          </cell>
          <cell r="BO93" t="str">
            <v>No coordinate evidence after source and LAS-header search</v>
          </cell>
        </row>
        <row r="94">
          <cell r="A94" t="str">
            <v>Duri-04875</v>
          </cell>
          <cell r="B94" t="str">
            <v>DURI04875</v>
          </cell>
          <cell r="C94" t="str">
            <v>DURI</v>
          </cell>
          <cell r="D94" t="str">
            <v>Duri</v>
          </cell>
          <cell r="E94">
            <v>20</v>
          </cell>
          <cell r="F94">
            <v>37</v>
          </cell>
          <cell r="G94">
            <v>0.64926872740180996</v>
          </cell>
          <cell r="H94">
            <v>411.89210320000001</v>
          </cell>
          <cell r="I94">
            <v>11.243418467438801</v>
          </cell>
          <cell r="J94">
            <v>0.34961619875136102</v>
          </cell>
          <cell r="K94">
            <v>656</v>
          </cell>
          <cell r="L94">
            <v>0.64854671038110201</v>
          </cell>
          <cell r="M94">
            <v>147.25</v>
          </cell>
          <cell r="N94">
            <v>1.1993932052298437</v>
          </cell>
          <cell r="O94">
            <v>4682.2817048560601</v>
          </cell>
          <cell r="P94">
            <v>3630.3801971169469</v>
          </cell>
          <cell r="Q94">
            <v>0.11345701574923271</v>
          </cell>
          <cell r="R94">
            <v>726.07603942338937</v>
          </cell>
          <cell r="S94">
            <v>314.18393622338937</v>
          </cell>
          <cell r="T94">
            <v>11.243418467438801</v>
          </cell>
          <cell r="U94" t="str">
            <v>Rokan</v>
          </cell>
          <cell r="V94">
            <v>206.97399999999999</v>
          </cell>
          <cell r="W94">
            <v>194.83590700155099</v>
          </cell>
          <cell r="X94">
            <v>1</v>
          </cell>
          <cell r="Y94">
            <v>1</v>
          </cell>
          <cell r="Z94">
            <v>0.51076118601508302</v>
          </cell>
          <cell r="AA94">
            <v>0.29328709488032001</v>
          </cell>
          <cell r="AB94">
            <v>2</v>
          </cell>
          <cell r="AC94">
            <v>2</v>
          </cell>
          <cell r="AD94">
            <v>4</v>
          </cell>
          <cell r="AE94">
            <v>5</v>
          </cell>
          <cell r="AF94">
            <v>5</v>
          </cell>
          <cell r="AG94">
            <v>2</v>
          </cell>
          <cell r="AH94">
            <v>3.05</v>
          </cell>
          <cell r="AI94">
            <v>0.35</v>
          </cell>
          <cell r="AJ94" t="str">
            <v>Tier 2 - subsurface / integrity review</v>
          </cell>
          <cell r="AK94" t="str">
            <v>SHUT IN</v>
          </cell>
          <cell r="AL94" t="str">
            <v>Open Hole</v>
          </cell>
          <cell r="AM94" t="str">
            <v>ESP</v>
          </cell>
          <cell r="AN94" t="str">
            <v>Pressure Test Lines</v>
          </cell>
          <cell r="AO94" t="str">
            <v>SHUT IN WELL</v>
          </cell>
          <cell r="AP94" t="str">
            <v>Yes</v>
          </cell>
          <cell r="AQ94" t="str">
            <v>Well source folder found; digital-group classification absent</v>
          </cell>
          <cell r="AR94" t="str">
            <v>No standard-group gap identified in database</v>
          </cell>
          <cell r="AS94" t="str">
            <v>No usable 6_Prod workbook after recursive search</v>
          </cell>
          <cell r="AT94" t="str">
            <v>field+well-number; Value completion uses No digital LAS found after recursive source search; Candidate mapped to source well</v>
          </cell>
          <cell r="AU94" t="str">
            <v>No digital LAS found after recursive source search</v>
          </cell>
          <cell r="AV94">
            <v>0</v>
          </cell>
          <cell r="AW94">
            <v>0</v>
          </cell>
          <cell r="AX94">
            <v>0</v>
          </cell>
          <cell r="AY94" t="str">
            <v>Not calculable - no usable digital LAS</v>
          </cell>
          <cell r="AZ94" t="str">
            <v>Not calculable - no usable digital LAS</v>
          </cell>
          <cell r="BA94" t="str">
            <v>Not calculable - no usable digital LAS</v>
          </cell>
          <cell r="BB94" t="str">
            <v>Not calculable - no usable digital LAS</v>
          </cell>
          <cell r="BC94" t="str">
            <v>Not calculable - no usable digital LAS</v>
          </cell>
          <cell r="BD94" t="str">
            <v>Not calculable - no usable digital LAS</v>
          </cell>
          <cell r="BE94">
            <v>0</v>
          </cell>
          <cell r="BF94" t="str">
            <v>No digital LAS found after recursive source search</v>
          </cell>
          <cell r="BG94" t="str">
            <v>No usable digital LAS source</v>
          </cell>
          <cell r="BH94" t="str">
            <v>No numeric trajectory source</v>
          </cell>
          <cell r="BI94" t="str">
            <v>No numeric inclination survey</v>
          </cell>
          <cell r="BJ94" t="str">
            <v>No numeric deviation proof</v>
          </cell>
          <cell r="BK94" t="str">
            <v>No coordinate evidence in source/LAS</v>
          </cell>
          <cell r="BL94" t="str">
            <v>No coordinate evidence in source/LAS</v>
          </cell>
          <cell r="BM94" t="str">
            <v>No coordinate evidence in source/LAS</v>
          </cell>
          <cell r="BN94" t="str">
            <v>No coordinate evidence in source/LAS</v>
          </cell>
          <cell r="BO94" t="str">
            <v>No coordinate evidence after source and LAS-header search</v>
          </cell>
        </row>
        <row r="95">
          <cell r="A95" t="str">
            <v>Duri-05060</v>
          </cell>
          <cell r="B95" t="str">
            <v>DURI05060</v>
          </cell>
          <cell r="C95" t="str">
            <v>DURI</v>
          </cell>
          <cell r="D95" t="str">
            <v>Duri</v>
          </cell>
          <cell r="E95">
            <v>20</v>
          </cell>
          <cell r="F95">
            <v>37</v>
          </cell>
          <cell r="G95">
            <v>0.64926872740180996</v>
          </cell>
          <cell r="H95">
            <v>411.89210320000001</v>
          </cell>
          <cell r="I95">
            <v>11.243418467438801</v>
          </cell>
          <cell r="J95">
            <v>0.34961619875136102</v>
          </cell>
          <cell r="K95">
            <v>656</v>
          </cell>
          <cell r="L95">
            <v>0.64854671038110201</v>
          </cell>
          <cell r="M95">
            <v>147.25</v>
          </cell>
          <cell r="N95">
            <v>1.1993932052298437</v>
          </cell>
          <cell r="O95">
            <v>4682.2817048560601</v>
          </cell>
          <cell r="P95">
            <v>3630.3801971169469</v>
          </cell>
          <cell r="Q95">
            <v>0.11345701574923271</v>
          </cell>
          <cell r="R95">
            <v>726.07603942338937</v>
          </cell>
          <cell r="S95">
            <v>314.18393622338937</v>
          </cell>
          <cell r="T95">
            <v>11.243418467438801</v>
          </cell>
          <cell r="U95" t="str">
            <v>Rokan</v>
          </cell>
          <cell r="V95">
            <v>1732</v>
          </cell>
          <cell r="W95">
            <v>1630.42600001298</v>
          </cell>
          <cell r="X95">
            <v>1</v>
          </cell>
          <cell r="Y95">
            <v>1</v>
          </cell>
          <cell r="Z95">
            <v>6.10359617288024E-2</v>
          </cell>
          <cell r="AA95">
            <v>3.5047807838198199E-2</v>
          </cell>
          <cell r="AB95">
            <v>2</v>
          </cell>
          <cell r="AC95">
            <v>2</v>
          </cell>
          <cell r="AD95">
            <v>4</v>
          </cell>
          <cell r="AE95">
            <v>5</v>
          </cell>
          <cell r="AF95">
            <v>5</v>
          </cell>
          <cell r="AG95">
            <v>1</v>
          </cell>
          <cell r="AH95">
            <v>2.9</v>
          </cell>
          <cell r="AI95">
            <v>0.35</v>
          </cell>
          <cell r="AJ95" t="str">
            <v>Tier 2 - subsurface / integrity review</v>
          </cell>
          <cell r="AK95" t="str">
            <v>POP</v>
          </cell>
          <cell r="AL95" t="str">
            <v>OPEN HOLE</v>
          </cell>
          <cell r="AM95" t="str">
            <v>ESP</v>
          </cell>
          <cell r="AN95" t="str">
            <v>GOOD</v>
          </cell>
          <cell r="AO95" t="str">
            <v>SHUT IN WELL</v>
          </cell>
          <cell r="AP95" t="str">
            <v>Yes</v>
          </cell>
          <cell r="AQ95" t="str">
            <v>Well source folder found; digital-group classification absent</v>
          </cell>
          <cell r="AR95" t="str">
            <v>No standard-group gap identified in database</v>
          </cell>
          <cell r="AS95" t="str">
            <v>No usable 6_Prod workbook after recursive search</v>
          </cell>
          <cell r="AT95" t="str">
            <v>field+well-number; Value completion uses No digital LAS found after recursive source search; Candidate mapped to source well</v>
          </cell>
          <cell r="AU95" t="str">
            <v>No digital LAS found after recursive source search</v>
          </cell>
          <cell r="AV95">
            <v>0</v>
          </cell>
          <cell r="AW95">
            <v>0</v>
          </cell>
          <cell r="AX95">
            <v>0</v>
          </cell>
          <cell r="AY95" t="str">
            <v>Not calculable - no usable digital LAS</v>
          </cell>
          <cell r="AZ95" t="str">
            <v>Not calculable - no usable digital LAS</v>
          </cell>
          <cell r="BA95" t="str">
            <v>Not calculable - no usable digital LAS</v>
          </cell>
          <cell r="BB95" t="str">
            <v>Not calculable - no usable digital LAS</v>
          </cell>
          <cell r="BC95" t="str">
            <v>Not calculable - no usable digital LAS</v>
          </cell>
          <cell r="BD95" t="str">
            <v>Not calculable - no usable digital LAS</v>
          </cell>
          <cell r="BE95">
            <v>0</v>
          </cell>
          <cell r="BF95" t="str">
            <v>No digital LAS found after recursive source search</v>
          </cell>
          <cell r="BG95" t="str">
            <v>No usable digital LAS source</v>
          </cell>
          <cell r="BH95" t="str">
            <v>No numeric trajectory source</v>
          </cell>
          <cell r="BI95" t="str">
            <v>No numeric inclination survey</v>
          </cell>
          <cell r="BJ95" t="str">
            <v>No numeric deviation proof</v>
          </cell>
          <cell r="BK95" t="str">
            <v>No coordinate evidence in source/LAS</v>
          </cell>
          <cell r="BL95" t="str">
            <v>No coordinate evidence in source/LAS</v>
          </cell>
          <cell r="BM95" t="str">
            <v>No coordinate evidence in source/LAS</v>
          </cell>
          <cell r="BN95" t="str">
            <v>No coordinate evidence in source/LAS</v>
          </cell>
          <cell r="BO95" t="str">
            <v>No coordinate evidence after source and LAS-header search</v>
          </cell>
        </row>
        <row r="96">
          <cell r="A96" t="str">
            <v>Duri-05106</v>
          </cell>
          <cell r="B96" t="str">
            <v>DURI05106</v>
          </cell>
          <cell r="C96" t="str">
            <v>DURI</v>
          </cell>
          <cell r="D96" t="str">
            <v>Duri</v>
          </cell>
          <cell r="E96">
            <v>20</v>
          </cell>
          <cell r="F96">
            <v>37</v>
          </cell>
          <cell r="G96">
            <v>0.64926872740180996</v>
          </cell>
          <cell r="H96">
            <v>411.89210320000001</v>
          </cell>
          <cell r="I96">
            <v>11.243418467438801</v>
          </cell>
          <cell r="J96">
            <v>0.34961619875136102</v>
          </cell>
          <cell r="K96">
            <v>656</v>
          </cell>
          <cell r="L96">
            <v>0.64854671038110201</v>
          </cell>
          <cell r="M96">
            <v>147.25</v>
          </cell>
          <cell r="N96">
            <v>1.1993932052298437</v>
          </cell>
          <cell r="O96">
            <v>4682.2817048560601</v>
          </cell>
          <cell r="P96">
            <v>3630.3801971169469</v>
          </cell>
          <cell r="Q96">
            <v>0.11345701574923271</v>
          </cell>
          <cell r="R96">
            <v>726.07603942338937</v>
          </cell>
          <cell r="S96">
            <v>314.18393622338937</v>
          </cell>
          <cell r="T96">
            <v>11.243418467438801</v>
          </cell>
          <cell r="U96" t="str">
            <v>Rokan</v>
          </cell>
          <cell r="V96">
            <v>1732</v>
          </cell>
          <cell r="W96">
            <v>1630.42600001298</v>
          </cell>
          <cell r="X96">
            <v>1</v>
          </cell>
          <cell r="Y96">
            <v>1</v>
          </cell>
          <cell r="Z96">
            <v>6.10359617288024E-2</v>
          </cell>
          <cell r="AA96">
            <v>3.5047807838198199E-2</v>
          </cell>
          <cell r="AB96">
            <v>2</v>
          </cell>
          <cell r="AC96">
            <v>2</v>
          </cell>
          <cell r="AD96">
            <v>4</v>
          </cell>
          <cell r="AE96">
            <v>5</v>
          </cell>
          <cell r="AF96">
            <v>5</v>
          </cell>
          <cell r="AG96">
            <v>1</v>
          </cell>
          <cell r="AH96">
            <v>2.9</v>
          </cell>
          <cell r="AI96">
            <v>0.35</v>
          </cell>
          <cell r="AJ96" t="str">
            <v>Tier 2 - subsurface / integrity review</v>
          </cell>
          <cell r="AK96" t="str">
            <v>SHUT IN</v>
          </cell>
          <cell r="AL96" t="str">
            <v>Open Hole</v>
          </cell>
          <cell r="AM96" t="str">
            <v>ESP</v>
          </cell>
          <cell r="AN96" t="str">
            <v>GOOD</v>
          </cell>
          <cell r="AO96" t="str">
            <v>Shut in well</v>
          </cell>
          <cell r="AP96" t="str">
            <v>Yes</v>
          </cell>
          <cell r="AQ96" t="str">
            <v>Well source folder found; digital-group classification absent</v>
          </cell>
          <cell r="AR96" t="str">
            <v>No standard-group gap identified in database</v>
          </cell>
          <cell r="AS96" t="str">
            <v>No usable 6_Prod workbook after recursive search</v>
          </cell>
          <cell r="AT96" t="str">
            <v>field+well-number; Value completion uses No digital LAS found after recursive source search; Candidate mapped to source well</v>
          </cell>
          <cell r="AU96" t="str">
            <v>No digital LAS found after recursive source search</v>
          </cell>
          <cell r="AV96">
            <v>0</v>
          </cell>
          <cell r="AW96">
            <v>0</v>
          </cell>
          <cell r="AX96">
            <v>0</v>
          </cell>
          <cell r="AY96" t="str">
            <v>Not calculable - no usable digital LAS</v>
          </cell>
          <cell r="AZ96" t="str">
            <v>Not calculable - no usable digital LAS</v>
          </cell>
          <cell r="BA96" t="str">
            <v>Not calculable - no usable digital LAS</v>
          </cell>
          <cell r="BB96" t="str">
            <v>Not calculable - no usable digital LAS</v>
          </cell>
          <cell r="BC96" t="str">
            <v>Not calculable - no usable digital LAS</v>
          </cell>
          <cell r="BD96" t="str">
            <v>Not calculable - no usable digital LAS</v>
          </cell>
          <cell r="BE96">
            <v>0</v>
          </cell>
          <cell r="BF96" t="str">
            <v>No digital LAS found after recursive source search</v>
          </cell>
          <cell r="BG96" t="str">
            <v>No usable digital LAS source</v>
          </cell>
          <cell r="BH96" t="str">
            <v>No numeric trajectory source</v>
          </cell>
          <cell r="BI96" t="str">
            <v>No numeric inclination survey</v>
          </cell>
          <cell r="BJ96" t="str">
            <v>No numeric deviation proof</v>
          </cell>
          <cell r="BK96" t="str">
            <v>No coordinate evidence in source/LAS</v>
          </cell>
          <cell r="BL96" t="str">
            <v>No coordinate evidence in source/LAS</v>
          </cell>
          <cell r="BM96" t="str">
            <v>No coordinate evidence in source/LAS</v>
          </cell>
          <cell r="BN96" t="str">
            <v>No coordinate evidence in source/LAS</v>
          </cell>
          <cell r="BO96" t="str">
            <v>No coordinate evidence after source and LAS-header search</v>
          </cell>
        </row>
        <row r="97">
          <cell r="A97" t="str">
            <v>Duri-05160</v>
          </cell>
          <cell r="B97" t="str">
            <v>DURI05160</v>
          </cell>
          <cell r="C97" t="str">
            <v>DURI</v>
          </cell>
          <cell r="D97" t="str">
            <v>Duri</v>
          </cell>
          <cell r="E97">
            <v>60</v>
          </cell>
          <cell r="F97">
            <v>60</v>
          </cell>
          <cell r="G97">
            <v>0.64926872740180996</v>
          </cell>
          <cell r="H97">
            <v>411.89210320000001</v>
          </cell>
          <cell r="I97">
            <v>33.730255402316402</v>
          </cell>
          <cell r="J97">
            <v>0.34961619875136102</v>
          </cell>
          <cell r="K97">
            <v>656</v>
          </cell>
          <cell r="L97">
            <v>0.64854671038110201</v>
          </cell>
          <cell r="M97">
            <v>147.25</v>
          </cell>
          <cell r="N97">
            <v>1.1993932052298437</v>
          </cell>
          <cell r="O97">
            <v>4682.2817048560601</v>
          </cell>
          <cell r="P97">
            <v>3630.3801971169469</v>
          </cell>
          <cell r="Q97">
            <v>0.11345701574923271</v>
          </cell>
          <cell r="R97">
            <v>726.07603942338937</v>
          </cell>
          <cell r="S97">
            <v>314.18393622338937</v>
          </cell>
          <cell r="T97">
            <v>33.730255402316402</v>
          </cell>
          <cell r="U97" t="str">
            <v>Rokan</v>
          </cell>
          <cell r="V97">
            <v>180.56100000000001</v>
          </cell>
          <cell r="W97">
            <v>169.97191050135299</v>
          </cell>
          <cell r="X97">
            <v>1</v>
          </cell>
          <cell r="Y97">
            <v>1</v>
          </cell>
          <cell r="Z97">
            <v>1.00857000973232</v>
          </cell>
          <cell r="AA97">
            <v>1.00857000973232</v>
          </cell>
          <cell r="AB97">
            <v>3</v>
          </cell>
          <cell r="AC97">
            <v>2</v>
          </cell>
          <cell r="AD97">
            <v>4</v>
          </cell>
          <cell r="AE97">
            <v>5</v>
          </cell>
          <cell r="AF97">
            <v>5</v>
          </cell>
          <cell r="AG97">
            <v>4</v>
          </cell>
          <cell r="AH97">
            <v>3.6</v>
          </cell>
          <cell r="AI97">
            <v>0.35</v>
          </cell>
          <cell r="AJ97" t="str">
            <v>Tier 2 - subsurface / integrity review</v>
          </cell>
          <cell r="AK97" t="str">
            <v>SHUT IN</v>
          </cell>
          <cell r="AL97" t="str">
            <v>CASED HOLE</v>
          </cell>
          <cell r="AM97" t="str">
            <v>ESP</v>
          </cell>
          <cell r="AN97" t="str">
            <v>ING OFF SET WELL: Adjacent PK Injector: need improve bondin _ | INJECTOR TO BE S</v>
          </cell>
          <cell r="AO97" t="str">
            <v>SHUT IN WELL</v>
          </cell>
          <cell r="AP97" t="str">
            <v>Yes</v>
          </cell>
          <cell r="AQ97" t="str">
            <v>Well source folder found; digital-group classification absent</v>
          </cell>
          <cell r="AR97" t="str">
            <v>No standard-group gap identified in database</v>
          </cell>
          <cell r="AS97" t="str">
            <v>No usable 6_Prod workbook after recursive search</v>
          </cell>
          <cell r="AT97" t="str">
            <v>field+well-number; Value completion uses No digital LAS found after recursive source search; Candidate mapped to source well</v>
          </cell>
          <cell r="AU97" t="str">
            <v>No digital LAS found after recursive source search</v>
          </cell>
          <cell r="AV97">
            <v>0</v>
          </cell>
          <cell r="AW97">
            <v>0</v>
          </cell>
          <cell r="AX97">
            <v>0</v>
          </cell>
          <cell r="AY97" t="str">
            <v>Not calculable - no usable digital LAS</v>
          </cell>
          <cell r="AZ97" t="str">
            <v>Not calculable - no usable digital LAS</v>
          </cell>
          <cell r="BA97" t="str">
            <v>Not calculable - no usable digital LAS</v>
          </cell>
          <cell r="BB97" t="str">
            <v>Not calculable - no usable digital LAS</v>
          </cell>
          <cell r="BC97" t="str">
            <v>Not calculable - no usable digital LAS</v>
          </cell>
          <cell r="BD97" t="str">
            <v>Not calculable - no usable digital LAS</v>
          </cell>
          <cell r="BE97">
            <v>0</v>
          </cell>
          <cell r="BF97" t="str">
            <v>No digital LAS found after recursive source search</v>
          </cell>
          <cell r="BG97" t="str">
            <v>No usable digital LAS source</v>
          </cell>
          <cell r="BH97" t="str">
            <v>No numeric trajectory source</v>
          </cell>
          <cell r="BI97" t="str">
            <v>No numeric inclination survey</v>
          </cell>
          <cell r="BJ97" t="str">
            <v>No numeric deviation proof</v>
          </cell>
          <cell r="BK97" t="str">
            <v>No coordinate evidence in source/LAS</v>
          </cell>
          <cell r="BL97" t="str">
            <v>No coordinate evidence in source/LAS</v>
          </cell>
          <cell r="BM97" t="str">
            <v>No coordinate evidence in source/LAS</v>
          </cell>
          <cell r="BN97" t="str">
            <v>No coordinate evidence in source/LAS</v>
          </cell>
          <cell r="BO97" t="str">
            <v>No coordinate evidence after source and LAS-header search</v>
          </cell>
        </row>
        <row r="98">
          <cell r="A98" t="str">
            <v>Duri-05175</v>
          </cell>
          <cell r="B98" t="str">
            <v>DURI05175</v>
          </cell>
          <cell r="C98" t="str">
            <v>DURI</v>
          </cell>
          <cell r="D98" t="str">
            <v>Duri</v>
          </cell>
          <cell r="E98">
            <v>20</v>
          </cell>
          <cell r="F98">
            <v>37</v>
          </cell>
          <cell r="G98">
            <v>0.64926872740180996</v>
          </cell>
          <cell r="H98">
            <v>411.89210320000001</v>
          </cell>
          <cell r="I98">
            <v>11.243418467438801</v>
          </cell>
          <cell r="J98">
            <v>0.34961619875136102</v>
          </cell>
          <cell r="K98">
            <v>656</v>
          </cell>
          <cell r="L98">
            <v>0.64854671038110201</v>
          </cell>
          <cell r="M98">
            <v>147.25</v>
          </cell>
          <cell r="N98">
            <v>1.1993932052298437</v>
          </cell>
          <cell r="O98">
            <v>4682.2817048560601</v>
          </cell>
          <cell r="P98">
            <v>3630.3801971169469</v>
          </cell>
          <cell r="Q98">
            <v>0.11345701574923271</v>
          </cell>
          <cell r="R98">
            <v>726.07603942338937</v>
          </cell>
          <cell r="S98">
            <v>314.18393622338937</v>
          </cell>
          <cell r="T98">
            <v>11.243418467438801</v>
          </cell>
          <cell r="U98" t="str">
            <v>Rokan</v>
          </cell>
          <cell r="V98">
            <v>180.12799999999999</v>
          </cell>
          <cell r="W98">
            <v>169.56430400135</v>
          </cell>
          <cell r="X98">
            <v>1</v>
          </cell>
          <cell r="Y98">
            <v>1</v>
          </cell>
          <cell r="Z98">
            <v>0.58688424739233103</v>
          </cell>
          <cell r="AA98">
            <v>0.336998152290368</v>
          </cell>
          <cell r="AB98">
            <v>2</v>
          </cell>
          <cell r="AC98">
            <v>2</v>
          </cell>
          <cell r="AD98">
            <v>4</v>
          </cell>
          <cell r="AE98">
            <v>5</v>
          </cell>
          <cell r="AF98">
            <v>5</v>
          </cell>
          <cell r="AG98">
            <v>2</v>
          </cell>
          <cell r="AH98">
            <v>3.05</v>
          </cell>
          <cell r="AI98">
            <v>0.35</v>
          </cell>
          <cell r="AJ98" t="str">
            <v>Tier 2 - subsurface / integrity review</v>
          </cell>
          <cell r="AK98" t="str">
            <v>SUSPENDED</v>
          </cell>
          <cell r="AL98" t="str">
            <v>Open Hole</v>
          </cell>
          <cell r="AM98" t="str">
            <v>ESP</v>
          </cell>
          <cell r="AN98" t="str">
            <v>Pressure Test Lines</v>
          </cell>
          <cell r="AO98" t="str">
            <v>Shut in well + Prepare Sqr Tank &amp; FBT</v>
          </cell>
          <cell r="AP98" t="str">
            <v>Yes</v>
          </cell>
          <cell r="AQ98" t="str">
            <v>Well source folder found; digital-group classification absent</v>
          </cell>
          <cell r="AR98" t="str">
            <v>No standard-group gap identified in database</v>
          </cell>
          <cell r="AS98" t="str">
            <v>No usable 6_Prod workbook after recursive search</v>
          </cell>
          <cell r="AT98" t="str">
            <v>field+well-number; Value completion uses No digital LAS found after recursive source search; Candidate mapped to source well</v>
          </cell>
          <cell r="AU98" t="str">
            <v>No digital LAS found after recursive source search</v>
          </cell>
          <cell r="AV98">
            <v>0</v>
          </cell>
          <cell r="AW98">
            <v>0</v>
          </cell>
          <cell r="AX98">
            <v>0</v>
          </cell>
          <cell r="AY98" t="str">
            <v>Not calculable - no usable digital LAS</v>
          </cell>
          <cell r="AZ98" t="str">
            <v>Not calculable - no usable digital LAS</v>
          </cell>
          <cell r="BA98" t="str">
            <v>Not calculable - no usable digital LAS</v>
          </cell>
          <cell r="BB98" t="str">
            <v>Not calculable - no usable digital LAS</v>
          </cell>
          <cell r="BC98" t="str">
            <v>Not calculable - no usable digital LAS</v>
          </cell>
          <cell r="BD98" t="str">
            <v>Not calculable - no usable digital LAS</v>
          </cell>
          <cell r="BE98">
            <v>0</v>
          </cell>
          <cell r="BF98" t="str">
            <v>No digital LAS found after recursive source search</v>
          </cell>
          <cell r="BG98" t="str">
            <v>No usable digital LAS source</v>
          </cell>
          <cell r="BH98" t="str">
            <v>No numeric trajectory source</v>
          </cell>
          <cell r="BI98" t="str">
            <v>No numeric inclination survey</v>
          </cell>
          <cell r="BJ98" t="str">
            <v>No numeric deviation proof</v>
          </cell>
          <cell r="BK98" t="str">
            <v>No coordinate evidence in source/LAS</v>
          </cell>
          <cell r="BL98" t="str">
            <v>No coordinate evidence in source/LAS</v>
          </cell>
          <cell r="BM98" t="str">
            <v>No coordinate evidence in source/LAS</v>
          </cell>
          <cell r="BN98" t="str">
            <v>No coordinate evidence in source/LAS</v>
          </cell>
          <cell r="BO98" t="str">
            <v>No coordinate evidence after source and LAS-header search</v>
          </cell>
        </row>
        <row r="99">
          <cell r="A99" t="str">
            <v>Duri-05219</v>
          </cell>
          <cell r="B99" t="str">
            <v>DURI05219</v>
          </cell>
          <cell r="C99" t="str">
            <v>DURI</v>
          </cell>
          <cell r="D99" t="str">
            <v>Duri</v>
          </cell>
          <cell r="E99">
            <v>3</v>
          </cell>
          <cell r="F99">
            <v>3</v>
          </cell>
          <cell r="G99">
            <v>0.64926872740180996</v>
          </cell>
          <cell r="H99">
            <v>411.89210320000001</v>
          </cell>
          <cell r="I99">
            <v>1.68651277011582</v>
          </cell>
          <cell r="J99">
            <v>0.35120209447241901</v>
          </cell>
          <cell r="K99">
            <v>656</v>
          </cell>
          <cell r="L99">
            <v>0.4531</v>
          </cell>
          <cell r="M99">
            <v>157.5</v>
          </cell>
          <cell r="N99">
            <v>1.1993932052298437</v>
          </cell>
          <cell r="O99">
            <v>7828.68204755029</v>
          </cell>
          <cell r="P99">
            <v>6069.9236112760209</v>
          </cell>
          <cell r="Q99">
            <v>6.7857872615535594E-2</v>
          </cell>
          <cell r="R99">
            <v>1213.9847222552041</v>
          </cell>
          <cell r="S99">
            <v>802.09261905520407</v>
          </cell>
          <cell r="T99">
            <v>1.68651277011582</v>
          </cell>
          <cell r="U99" t="str">
            <v>Rokan</v>
          </cell>
          <cell r="V99">
            <v>342.93599999999998</v>
          </cell>
          <cell r="W99">
            <v>330.90735716714101</v>
          </cell>
          <cell r="X99">
            <v>1</v>
          </cell>
          <cell r="Y99">
            <v>1</v>
          </cell>
          <cell r="Z99">
            <v>2.59028044731539E-2</v>
          </cell>
          <cell r="AA99">
            <v>2.59028044731539E-2</v>
          </cell>
          <cell r="AB99">
            <v>1</v>
          </cell>
          <cell r="AC99">
            <v>1</v>
          </cell>
          <cell r="AD99">
            <v>5</v>
          </cell>
          <cell r="AE99">
            <v>5</v>
          </cell>
          <cell r="AF99">
            <v>5</v>
          </cell>
          <cell r="AG99">
            <v>1</v>
          </cell>
          <cell r="AH99">
            <v>2.4</v>
          </cell>
          <cell r="AI99">
            <v>0.55000000000000004</v>
          </cell>
          <cell r="AJ99" t="str">
            <v>Tier 3 - acquire / validate critical data</v>
          </cell>
          <cell r="AK99" t="str">
            <v>SHUT IN</v>
          </cell>
          <cell r="AL99" t="str">
            <v>OPEN HOLE</v>
          </cell>
          <cell r="AM99" t="str">
            <v>ESP</v>
          </cell>
          <cell r="AN99" t="str">
            <v>good</v>
          </cell>
          <cell r="AO99" t="str">
            <v>SHUT IN WELL</v>
          </cell>
          <cell r="AP99" t="str">
            <v>Yes</v>
          </cell>
          <cell r="AQ99" t="str">
            <v>Well source folder found; digital-group classification absent</v>
          </cell>
          <cell r="AR99" t="str">
            <v>No standard-group gap identified in database</v>
          </cell>
          <cell r="AS99" t="str">
            <v>No usable 6_Prod workbook after recursive search</v>
          </cell>
          <cell r="AT99" t="str">
            <v>field+well-number; Value completion uses Formation evaluation completed; Candidate mapped to source well</v>
          </cell>
          <cell r="AU99" t="str">
            <v>UNCONFIRMED - NO PERFORATION HISTORY</v>
          </cell>
          <cell r="AV99">
            <v>0</v>
          </cell>
          <cell r="AW99">
            <v>0</v>
          </cell>
          <cell r="AX99">
            <v>0</v>
          </cell>
          <cell r="AY99">
            <v>792</v>
          </cell>
          <cell r="AZ99">
            <v>835</v>
          </cell>
          <cell r="BA99">
            <v>792</v>
          </cell>
          <cell r="BB99">
            <v>835</v>
          </cell>
          <cell r="BC99">
            <v>43.5</v>
          </cell>
          <cell r="BD99">
            <v>87</v>
          </cell>
          <cell r="BE99">
            <v>0</v>
          </cell>
          <cell r="BF99" t="str">
            <v>Formation evaluation completed</v>
          </cell>
          <cell r="BG99" t="str">
            <v>D:\HALLIBURTON CONSULTING\Data Nations\Zona Rokan\DURI\DURI05219\5_Well_Log_Raw\111216852_DURI05219_T_022426_0.las</v>
          </cell>
          <cell r="BH99" t="str">
            <v>MD used as TVD; no numeric deviation survey found</v>
          </cell>
          <cell r="BI99">
            <v>0</v>
          </cell>
          <cell r="BJ99" t="str">
            <v>No numeric horizontal proof</v>
          </cell>
          <cell r="BK99" t="str">
            <v>No coordinate evidence in source/LAS</v>
          </cell>
          <cell r="BL99" t="str">
            <v>No coordinate evidence in source/LAS</v>
          </cell>
          <cell r="BM99" t="str">
            <v>No coordinate evidence in source/LAS</v>
          </cell>
          <cell r="BN99" t="str">
            <v>No coordinate evidence in source/LAS</v>
          </cell>
          <cell r="BO99" t="str">
            <v>No coordinate evidence after source and LAS-header search</v>
          </cell>
        </row>
        <row r="100">
          <cell r="A100" t="str">
            <v>Duri-05227</v>
          </cell>
          <cell r="B100" t="str">
            <v>DURI05227</v>
          </cell>
          <cell r="C100" t="str">
            <v>DURI</v>
          </cell>
          <cell r="D100" t="str">
            <v>Duri</v>
          </cell>
          <cell r="E100">
            <v>20</v>
          </cell>
          <cell r="F100">
            <v>37</v>
          </cell>
          <cell r="G100">
            <v>0.64926872740180996</v>
          </cell>
          <cell r="H100">
            <v>411.89210320000001</v>
          </cell>
          <cell r="I100">
            <v>11.243418467438801</v>
          </cell>
          <cell r="J100">
            <v>0.34449999999999997</v>
          </cell>
          <cell r="K100">
            <v>820</v>
          </cell>
          <cell r="L100">
            <v>0.69430000000000003</v>
          </cell>
          <cell r="M100">
            <v>94.5</v>
          </cell>
          <cell r="N100">
            <v>1.1993932052298437</v>
          </cell>
          <cell r="O100">
            <v>2575.4881132340101</v>
          </cell>
          <cell r="P100">
            <v>3120.1404683538949</v>
          </cell>
          <cell r="Q100">
            <v>0.13201075636742202</v>
          </cell>
          <cell r="R100">
            <v>624.02809367077907</v>
          </cell>
          <cell r="S100">
            <v>212.13599047077906</v>
          </cell>
          <cell r="T100">
            <v>11.243418467438801</v>
          </cell>
          <cell r="U100" t="str">
            <v>Rokan</v>
          </cell>
          <cell r="V100">
            <v>129.03399999999999</v>
          </cell>
          <cell r="W100">
            <v>115.276585662058</v>
          </cell>
          <cell r="X100">
            <v>1</v>
          </cell>
          <cell r="Y100">
            <v>1</v>
          </cell>
          <cell r="Z100">
            <v>0.74</v>
          </cell>
          <cell r="AA100">
            <v>0.4</v>
          </cell>
          <cell r="AB100">
            <v>2</v>
          </cell>
          <cell r="AC100">
            <v>2</v>
          </cell>
          <cell r="AD100">
            <v>3</v>
          </cell>
          <cell r="AE100">
            <v>5</v>
          </cell>
          <cell r="AF100">
            <v>5</v>
          </cell>
          <cell r="AG100">
            <v>2</v>
          </cell>
          <cell r="AH100">
            <v>3.05</v>
          </cell>
          <cell r="AI100">
            <v>0.65</v>
          </cell>
          <cell r="AJ100" t="str">
            <v>Tier 1 - validate for reactivation</v>
          </cell>
          <cell r="AK100" t="str">
            <v>SUSPENDED</v>
          </cell>
          <cell r="AL100" t="str">
            <v>CASED HOLE</v>
          </cell>
          <cell r="AM100" t="str">
            <v>ESP</v>
          </cell>
          <cell r="AN100" t="str">
            <v>GOOD</v>
          </cell>
          <cell r="AO100" t="str">
            <v>SHUT IN WELL</v>
          </cell>
          <cell r="AP100" t="str">
            <v>Yes</v>
          </cell>
          <cell r="AQ100" t="str">
            <v>Well source folder found; digital-group classification absent</v>
          </cell>
          <cell r="AR100" t="str">
            <v>No standard-group gap identified in database</v>
          </cell>
          <cell r="AS100" t="str">
            <v>No usable 6_Prod workbook after recursive search</v>
          </cell>
          <cell r="AT100" t="str">
            <v>field+well-number; Value completion uses Formation evaluation completed; Candidate mapped to source well</v>
          </cell>
          <cell r="AU100" t="str">
            <v>NZBP SCREENING CANDIDATE</v>
          </cell>
          <cell r="AV100">
            <v>4</v>
          </cell>
          <cell r="AW100">
            <v>132.06943781392147</v>
          </cell>
          <cell r="AX100">
            <v>26.413887562784296</v>
          </cell>
          <cell r="AY100">
            <v>298</v>
          </cell>
          <cell r="AZ100">
            <v>311</v>
          </cell>
          <cell r="BA100">
            <v>298</v>
          </cell>
          <cell r="BB100">
            <v>311</v>
          </cell>
          <cell r="BC100">
            <v>13.5</v>
          </cell>
          <cell r="BD100">
            <v>75.2</v>
          </cell>
          <cell r="BE100">
            <v>1</v>
          </cell>
          <cell r="BF100" t="str">
            <v>Formation evaluation completed</v>
          </cell>
          <cell r="BG100" t="str">
            <v>D:\HALLIBURTON CONSULTING\Data Nations\Zona Rokan\DURI\DURI05227\5_Well_Log_Raw\111419509_DURI05227_T_111944_0.las</v>
          </cell>
          <cell r="BH100" t="str">
            <v>MD used as TVD; no numeric deviation survey found</v>
          </cell>
          <cell r="BI100">
            <v>0</v>
          </cell>
          <cell r="BJ100" t="str">
            <v>No numeric horizontal proof</v>
          </cell>
          <cell r="BK100" t="str">
            <v>No coordinate evidence in source/LAS</v>
          </cell>
          <cell r="BL100" t="str">
            <v>No coordinate evidence in source/LAS</v>
          </cell>
          <cell r="BM100" t="str">
            <v>No coordinate evidence in source/LAS</v>
          </cell>
          <cell r="BN100" t="str">
            <v>No coordinate evidence in source/LAS</v>
          </cell>
          <cell r="BO100" t="str">
            <v>No coordinate evidence after source and LAS-header search</v>
          </cell>
        </row>
        <row r="101">
          <cell r="A101" t="str">
            <v>Duri-05231</v>
          </cell>
          <cell r="B101" t="str">
            <v>DURI05231</v>
          </cell>
          <cell r="C101" t="str">
            <v>DURI</v>
          </cell>
          <cell r="D101" t="str">
            <v>Duri</v>
          </cell>
          <cell r="E101">
            <v>3</v>
          </cell>
          <cell r="F101">
            <v>3</v>
          </cell>
          <cell r="G101">
            <v>0.64926872740180996</v>
          </cell>
          <cell r="H101">
            <v>411.89210320000001</v>
          </cell>
          <cell r="I101">
            <v>1.68651277011582</v>
          </cell>
          <cell r="J101">
            <v>0.34803030303030302</v>
          </cell>
          <cell r="K101">
            <v>656</v>
          </cell>
          <cell r="L101">
            <v>0.60891342076220301</v>
          </cell>
          <cell r="M101">
            <v>137</v>
          </cell>
          <cell r="N101">
            <v>1.1993932052298437</v>
          </cell>
          <cell r="O101">
            <v>4825.6255114773203</v>
          </cell>
          <cell r="P101">
            <v>3741.5209933653887</v>
          </cell>
          <cell r="Q101">
            <v>0.11008680799342919</v>
          </cell>
          <cell r="R101">
            <v>748.30419867307774</v>
          </cell>
          <cell r="S101">
            <v>336.41209547307773</v>
          </cell>
          <cell r="T101">
            <v>1.68651277011582</v>
          </cell>
          <cell r="U101" t="str">
            <v>Rokan</v>
          </cell>
          <cell r="V101">
            <v>74.475999999999999</v>
          </cell>
          <cell r="W101">
            <v>70.238058727935794</v>
          </cell>
          <cell r="X101">
            <v>1</v>
          </cell>
          <cell r="Y101">
            <v>1</v>
          </cell>
          <cell r="Z101">
            <v>0.06</v>
          </cell>
          <cell r="AA101">
            <v>0.06</v>
          </cell>
          <cell r="AB101">
            <v>1</v>
          </cell>
          <cell r="AC101">
            <v>1</v>
          </cell>
          <cell r="AD101">
            <v>4</v>
          </cell>
          <cell r="AE101">
            <v>5</v>
          </cell>
          <cell r="AF101">
            <v>5</v>
          </cell>
          <cell r="AG101">
            <v>1</v>
          </cell>
          <cell r="AH101">
            <v>2.4</v>
          </cell>
          <cell r="AI101">
            <v>0.65</v>
          </cell>
          <cell r="AJ101" t="str">
            <v>Tier 3 - acquire / validate critical data</v>
          </cell>
          <cell r="AK101" t="str">
            <v>SHUT IN</v>
          </cell>
          <cell r="AL101" t="str">
            <v>OPEN HOLE</v>
          </cell>
          <cell r="AM101" t="str">
            <v>ESP</v>
          </cell>
          <cell r="AN101" t="str">
            <v>good</v>
          </cell>
          <cell r="AO101" t="str">
            <v>SHUT IN WELL</v>
          </cell>
          <cell r="AP101" t="str">
            <v>Yes</v>
          </cell>
          <cell r="AQ101" t="str">
            <v>Well source folder found; digital-group classification absent</v>
          </cell>
          <cell r="AR101" t="str">
            <v>No standard-group gap identified in database</v>
          </cell>
          <cell r="AS101" t="str">
            <v>No usable 6_Prod workbook after recursive search</v>
          </cell>
          <cell r="AT101" t="str">
            <v>field+well-number; Value completion uses Formation evaluation completed; Candidate mapped to source well</v>
          </cell>
          <cell r="AU101" t="str">
            <v>NZBP SCREENING CANDIDATE</v>
          </cell>
          <cell r="AV101">
            <v>3</v>
          </cell>
          <cell r="AW101">
            <v>81.931116643037711</v>
          </cell>
          <cell r="AX101">
            <v>16.386223328607542</v>
          </cell>
          <cell r="AY101">
            <v>172</v>
          </cell>
          <cell r="AZ101">
            <v>178</v>
          </cell>
          <cell r="BA101">
            <v>172</v>
          </cell>
          <cell r="BB101">
            <v>178</v>
          </cell>
          <cell r="BC101">
            <v>6.5</v>
          </cell>
          <cell r="BD101">
            <v>72.900000000000006</v>
          </cell>
          <cell r="BE101">
            <v>1</v>
          </cell>
          <cell r="BF101" t="str">
            <v>Formation evaluation completed</v>
          </cell>
          <cell r="BG101" t="str">
            <v>D:\HALLIBURTON CONSULTING\Data Nations\Zona Rokan\DURI\DURI05231\5_Well_Log_Raw\111496212_DURI05231_T_001153_0.las</v>
          </cell>
          <cell r="BH101" t="str">
            <v>MD used as TVD; no numeric deviation survey found</v>
          </cell>
          <cell r="BI101">
            <v>0</v>
          </cell>
          <cell r="BJ101" t="str">
            <v>No numeric horizontal proof</v>
          </cell>
          <cell r="BK101" t="str">
            <v>No coordinate evidence in source/LAS</v>
          </cell>
          <cell r="BL101" t="str">
            <v>No coordinate evidence in source/LAS</v>
          </cell>
          <cell r="BM101" t="str">
            <v>No coordinate evidence in source/LAS</v>
          </cell>
          <cell r="BN101" t="str">
            <v>No coordinate evidence in source/LAS</v>
          </cell>
          <cell r="BO101" t="str">
            <v>No coordinate evidence after source and LAS-header search</v>
          </cell>
        </row>
      </sheetData>
      <sheetData sheetId="2"/>
      <sheetData sheetId="3"/>
      <sheetData sheetId="4"/>
      <sheetData sheetId="5"/>
      <sheetData sheetId="6"/>
      <sheetData sheetId="7"/>
      <sheetData sheetId="8"/>
      <sheetData sheetId="9"/>
    </sheetDataSet>
  </externalBook>
</externalLink>
</file>

<file path=xl/persons/person.xml><?xml version="1.0" encoding="utf-8"?>
<personList xmlns="http://schemas.microsoft.com/office/spreadsheetml/2018/threadedcomments" xmlns:x="http://schemas.openxmlformats.org/spreadsheetml/2006/main">
  <person displayName="Faisyal Amir" id="{67D9F67E-F017-4F02-8EB1-DBCC49E2373F}" userId="Faisyal.Amir@halliburton.com" providerId="PeoplePicker"/>
  <person displayName="Faisyal Amir" id="{763C8664-588E-4A8E-B96F-C974EEBFE450}" userId="S::Faisyal.Amir@halliburton.com::54a51c87-4677-4afa-8cde-c80157b18510" providerId="AD"/>
  <person displayName="Faisyal Amir" id="{25D53406-CAD0-46AD-B385-A1165358A253}" userId="S::faisyal.amir@halliburton.com::54a51c87-4677-4afa-8cde-c80157b18510" providerId="AD"/>
  <person displayName="Ridho Affandi" id="{E5639FC0-FEDD-4816-9996-3D0F22900F7B}" userId="S::Ridho.Affandi@halliburton.com::71180804-384a-4f12-9394-f43333323e26" providerId="AD"/>
  <person displayName="Aris Roso Yudono" id="{397A4DF5-0686-45DA-8665-9C9AD9CB54E9}" userId="S::ArisRoso.Yudono@halliburton.com::d6b2eed3-e8f9-4be2-8ced-535bbbd489e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R30" dT="2026-06-17T08:21:08.04" personId="{397A4DF5-0686-45DA-8665-9C9AD9CB54E9}" id="{F2DC554A-42E2-48EF-BE04-91DD052C273C}">
    <text>@Faisyal Amir tolong recheck last oil rate di KOPAR-00014 .  3936 ?</text>
    <mentions>
      <mention mentionpersonId="{67D9F67E-F017-4F02-8EB1-DBCC49E2373F}" mentionId="{614A4AED-5271-48C9-A730-36C28A3154AF}" startIndex="0" length="13"/>
    </mentions>
  </threadedComment>
  <threadedComment ref="R30" dT="2026-06-18T07:37:44.00" personId="{763C8664-588E-4A8E-B96F-C974EEBFE450}" id="{61D93FB9-5509-4582-B953-E7B061B6F6D7}" parentId="{F2DC554A-42E2-48EF-BE04-91DD052C273C}">
    <text>Kita buat #N/A aja</text>
  </threadedComment>
  <threadedComment ref="J36" dT="2026-06-28T04:51:11.24" personId="{763C8664-588E-4A8E-B96F-C974EEBFE450}" id="{038F52E0-774A-4BD6-8678-DCA155A20886}">
    <text xml:space="preserve">Potential NZBP exist reference kopar 31, need C/O log to see current So or run cased hole log
</text>
  </threadedComment>
  <threadedComment ref="AD45" dT="2026-06-18T04:35:30.25" personId="{397A4DF5-0686-45DA-8665-9C9AD9CB54E9}" id="{7FB221FC-C092-48A5-BAEA-439C23955DCE}">
    <text xml:space="preserve">@Faisyal Amir scoring rerserve ini berapa </text>
    <mentions>
      <mention mentionpersonId="{67D9F67E-F017-4F02-8EB1-DBCC49E2373F}" mentionId="{5D0F5493-ABBC-4FAC-A5D4-E98F6349741A}" startIndex="0" length="13"/>
    </mentions>
  </threadedComment>
  <threadedComment ref="AD54" dT="2026-07-11T15:06:37.76" personId="{E5639FC0-FEDD-4816-9996-3D0F22900F7B}" id="{FA2FCA03-5D05-4591-AC50-562C9B96568E}">
    <text>@Faisyal Amir angkanya beneran 5 ini syal</text>
    <mentions>
      <mention mentionpersonId="{67D9F67E-F017-4F02-8EB1-DBCC49E2373F}" mentionId="{FC71354B-35F4-4026-B8A1-B548651A06FF}" startIndex="0" length="13"/>
    </mentions>
  </threadedComment>
  <threadedComment ref="AD54" dT="2026-07-12T08:42:33.66" personId="{25D53406-CAD0-46AD-B385-A1165358A253}" id="{4DEA89FA-2105-4827-AEA6-1EEF28540C2F}" parentId="{FA2FCA03-5D05-4591-AC50-562C9B96568E}">
    <text>aku ubah jadi 3 utk by default no data</text>
  </threadedComment>
  <threadedComment ref="I56" dT="2026-06-19T02:46:52.76" personId="{763C8664-588E-4A8E-B96F-C974EEBFE450}" id="{D0DD01FB-E9AA-4F86-BEA1-26575E527768}">
    <text>Might be Attic oil</text>
  </threadedComment>
  <threadedComment ref="AC59" dT="2026-07-12T00:25:04.76" personId="{E5639FC0-FEDD-4816-9996-3D0F22900F7B}" id="{C6A0202F-C525-4A7E-9713-9C0A0AC52BF3}">
    <text>@Faisyal Amir  oil gainnya bener syal 5 syal</text>
    <mentions>
      <mention mentionpersonId="{67D9F67E-F017-4F02-8EB1-DBCC49E2373F}" mentionId="{DC4093D6-67D0-4F61-AF8B-D06C6EE95DAD}" startIndex="0" length="13"/>
    </mentions>
  </threadedComment>
  <threadedComment ref="AC59" dT="2026-07-12T08:45:50.97" personId="{25D53406-CAD0-46AD-B385-A1165358A253}" id="{7BE0845E-7865-4A84-B74B-4A889678EAA5}" parentId="{C6A0202F-C525-4A7E-9713-9C0A0AC52BF3}">
    <text>aku ubah jadi 1, mengingat no remaining reserves untuk existing zone dan no NZBP</text>
  </threadedComment>
  <threadedComment ref="AF59" dT="2026-07-12T00:27:04.93" personId="{E5639FC0-FEDD-4816-9996-3D0F22900F7B}" id="{0EBDD631-A194-44AE-BB94-C759C924E0E6}">
    <text>@Faisyal Amir angka ini bener gak ya om</text>
    <mentions>
      <mention mentionpersonId="{67D9F67E-F017-4F02-8EB1-DBCC49E2373F}" mentionId="{9129FF94-1D63-4AA0-902B-24F8AA022F15}" startIndex="0" length="13"/>
    </mentions>
  </threadedComment>
  <threadedComment ref="AF59" dT="2026-07-12T08:49:19.46" personId="{25D53406-CAD0-46AD-B385-A1165358A253}" id="{8F3678CE-316A-4A94-A6A6-4D62C7EF10A0}" parentId="{0EBDD631-A194-44AE-BB94-C759C924E0E6}">
    <text>aku ubah jadi 1, karena last test apr 15 : 0.9 BOPD at 99.95% WC (1796 BFPD)</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40107EC-4016-4258-AB68-4017F2A081BF}">
  <we:reference id="3bca4c83-9cd0-4b26-900f-3afe612a10a3" version="1.0.0.0" store="EXCatalog" storeType="EXCatalog"/>
  <we:alternateReferences/>
  <we:properties>
    <we:property name="QlikReportingCustomXml" value="&quot;{5D66B2AB-78F0-4E89-B517-5BE6AB4DD1F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2545A60E-29B6-4B47-AB3B-DEB4E1FF5EB7}">
  <we:reference id="7c3929fd-ffc8-4fa9-a64b-25dff355e46d" version="1.0.0.8" store="EXCatalog" storeType="EXCatalog"/>
  <we:alternateReferences>
    <we:reference id="WA200006575" version="1.0.0.8"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2CB04-74F9-4AF3-95AE-FEBE9AC7D380}">
  <dimension ref="A2:AY149"/>
  <sheetViews>
    <sheetView showGridLines="0" tabSelected="1" zoomScale="80" zoomScaleNormal="80" workbookViewId="0">
      <pane xSplit="2" ySplit="8" topLeftCell="C9" activePane="bottomRight" state="frozen"/>
      <selection pane="bottomRight" activeCell="B10" sqref="B10"/>
      <selection pane="bottomLeft" activeCell="A7" sqref="A7"/>
      <selection pane="topRight" activeCell="C1" sqref="C1"/>
    </sheetView>
  </sheetViews>
  <sheetFormatPr defaultColWidth="8.5703125" defaultRowHeight="15" customHeight="1"/>
  <cols>
    <col min="1" max="1" width="5.5703125" style="2" customWidth="1"/>
    <col min="2" max="2" width="21.42578125" style="18" customWidth="1"/>
    <col min="3" max="5" width="15.7109375" style="18" customWidth="1"/>
    <col min="6" max="6" width="15.7109375" style="4" customWidth="1"/>
    <col min="7" max="7" width="15.7109375" style="18" customWidth="1"/>
    <col min="8" max="8" width="15.7109375" style="3" customWidth="1"/>
    <col min="9" max="13" width="15.7109375" style="4" customWidth="1"/>
    <col min="14" max="15" width="15.7109375" style="17" customWidth="1"/>
    <col min="16" max="18" width="15.85546875" style="18" customWidth="1"/>
    <col min="19" max="19" width="15.85546875" style="19" customWidth="1"/>
    <col min="20" max="20" width="15.85546875" style="18" customWidth="1"/>
    <col min="21" max="28" width="15.85546875" style="17" customWidth="1"/>
    <col min="29" max="40" width="11.7109375" style="3" customWidth="1"/>
    <col min="41" max="41" width="10.85546875" style="3" customWidth="1"/>
    <col min="42" max="45" width="10.85546875" style="4" customWidth="1"/>
    <col min="46" max="46" width="50.140625" style="3" bestFit="1" customWidth="1"/>
    <col min="47" max="47" width="59.28515625" style="3" customWidth="1"/>
    <col min="48" max="49" width="8.5703125" style="3"/>
    <col min="50" max="50" width="15.85546875" style="3" customWidth="1"/>
    <col min="51" max="51" width="14.42578125" style="3" customWidth="1"/>
    <col min="52" max="16384" width="8.5703125" style="3"/>
  </cols>
  <sheetData>
    <row r="2" spans="1:51" ht="26.1" customHeight="1">
      <c r="B2" s="150" t="s">
        <v>0</v>
      </c>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row>
    <row r="3" spans="1:51" ht="3.75" customHeight="1">
      <c r="B3" s="204"/>
      <c r="C3" s="204"/>
      <c r="D3" s="204"/>
      <c r="E3" s="204"/>
      <c r="F3" s="204"/>
      <c r="G3" s="204"/>
      <c r="H3" s="204"/>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row>
    <row r="4" spans="1:51" ht="15" customHeight="1" thickBot="1">
      <c r="B4" s="151" t="s">
        <v>1</v>
      </c>
      <c r="C4" s="151"/>
      <c r="D4" s="151"/>
      <c r="E4" s="151"/>
      <c r="F4" s="151"/>
      <c r="G4" s="151"/>
      <c r="H4" s="151"/>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row>
    <row r="5" spans="1:51" ht="21.75" customHeight="1">
      <c r="A5" s="135" t="s">
        <v>2</v>
      </c>
      <c r="B5" s="155" t="s">
        <v>3</v>
      </c>
      <c r="C5" s="156"/>
      <c r="D5" s="156"/>
      <c r="E5" s="156"/>
      <c r="F5" s="156"/>
      <c r="G5" s="156"/>
      <c r="H5" s="156"/>
      <c r="I5" s="156"/>
      <c r="J5" s="156"/>
      <c r="K5" s="156"/>
      <c r="L5" s="156"/>
      <c r="M5" s="156"/>
      <c r="N5" s="156"/>
      <c r="O5" s="156"/>
      <c r="P5" s="159" t="s">
        <v>4</v>
      </c>
      <c r="Q5" s="160"/>
      <c r="R5" s="160"/>
      <c r="S5" s="160"/>
      <c r="T5" s="160"/>
      <c r="U5" s="161"/>
      <c r="V5" s="190" t="s">
        <v>5</v>
      </c>
      <c r="W5" s="191"/>
      <c r="X5" s="192"/>
      <c r="Y5" s="196" t="s">
        <v>6</v>
      </c>
      <c r="Z5" s="197"/>
      <c r="AA5" s="197"/>
      <c r="AB5" s="198"/>
      <c r="AC5" s="163" t="s">
        <v>7</v>
      </c>
      <c r="AD5" s="164"/>
      <c r="AE5" s="164"/>
      <c r="AF5" s="164"/>
      <c r="AG5" s="164"/>
      <c r="AH5" s="164"/>
      <c r="AI5" s="164"/>
      <c r="AJ5" s="164"/>
      <c r="AK5" s="164"/>
      <c r="AL5" s="164"/>
      <c r="AM5" s="164"/>
      <c r="AN5" s="165"/>
      <c r="AO5" s="177" t="s">
        <v>8</v>
      </c>
      <c r="AP5" s="178"/>
      <c r="AQ5" s="178"/>
      <c r="AR5" s="178"/>
      <c r="AS5" s="178"/>
      <c r="AT5" s="179"/>
      <c r="AU5" s="186" t="s">
        <v>9</v>
      </c>
    </row>
    <row r="6" spans="1:51" ht="21.75" customHeight="1" thickBot="1">
      <c r="A6" s="135"/>
      <c r="B6" s="157"/>
      <c r="C6" s="158"/>
      <c r="D6" s="158"/>
      <c r="E6" s="158"/>
      <c r="F6" s="158"/>
      <c r="G6" s="158"/>
      <c r="H6" s="158"/>
      <c r="I6" s="158"/>
      <c r="J6" s="158"/>
      <c r="K6" s="158"/>
      <c r="L6" s="158"/>
      <c r="M6" s="158"/>
      <c r="N6" s="158"/>
      <c r="O6" s="158"/>
      <c r="P6" s="162"/>
      <c r="Q6" s="144"/>
      <c r="R6" s="144"/>
      <c r="S6" s="144"/>
      <c r="T6" s="144"/>
      <c r="U6" s="145"/>
      <c r="V6" s="193"/>
      <c r="W6" s="194"/>
      <c r="X6" s="195"/>
      <c r="Y6" s="199"/>
      <c r="Z6" s="200"/>
      <c r="AA6" s="200"/>
      <c r="AB6" s="201"/>
      <c r="AC6" s="166"/>
      <c r="AD6" s="167"/>
      <c r="AE6" s="167"/>
      <c r="AF6" s="167"/>
      <c r="AG6" s="167"/>
      <c r="AH6" s="167"/>
      <c r="AI6" s="167"/>
      <c r="AJ6" s="167"/>
      <c r="AK6" s="167"/>
      <c r="AL6" s="167"/>
      <c r="AM6" s="167"/>
      <c r="AN6" s="168"/>
      <c r="AO6" s="180"/>
      <c r="AP6" s="181"/>
      <c r="AQ6" s="181"/>
      <c r="AR6" s="181"/>
      <c r="AS6" s="181"/>
      <c r="AT6" s="182"/>
      <c r="AU6" s="187"/>
    </row>
    <row r="7" spans="1:51" ht="21.75" customHeight="1" thickBot="1">
      <c r="A7" s="135"/>
      <c r="B7" s="152" t="s">
        <v>10</v>
      </c>
      <c r="C7" s="152" t="s">
        <v>11</v>
      </c>
      <c r="D7" s="148" t="s">
        <v>12</v>
      </c>
      <c r="E7" s="149"/>
      <c r="F7" s="136" t="s">
        <v>13</v>
      </c>
      <c r="G7" s="136" t="s">
        <v>14</v>
      </c>
      <c r="H7" s="136" t="s">
        <v>15</v>
      </c>
      <c r="I7" s="136" t="s">
        <v>16</v>
      </c>
      <c r="J7" s="136" t="s">
        <v>17</v>
      </c>
      <c r="K7" s="136" t="s">
        <v>18</v>
      </c>
      <c r="L7" s="136" t="s">
        <v>19</v>
      </c>
      <c r="M7" s="136" t="s">
        <v>20</v>
      </c>
      <c r="N7" s="136" t="s">
        <v>21</v>
      </c>
      <c r="O7" s="148" t="s">
        <v>22</v>
      </c>
      <c r="P7" s="142" t="s">
        <v>23</v>
      </c>
      <c r="Q7" s="146" t="s">
        <v>24</v>
      </c>
      <c r="R7" s="144" t="s">
        <v>25</v>
      </c>
      <c r="S7" s="144"/>
      <c r="T7" s="144" t="s">
        <v>26</v>
      </c>
      <c r="U7" s="145"/>
      <c r="V7" s="138" t="s">
        <v>27</v>
      </c>
      <c r="W7" s="140" t="s">
        <v>28</v>
      </c>
      <c r="X7" s="169" t="s">
        <v>29</v>
      </c>
      <c r="Y7" s="171" t="s">
        <v>30</v>
      </c>
      <c r="Z7" s="173" t="s">
        <v>31</v>
      </c>
      <c r="AA7" s="173" t="s">
        <v>32</v>
      </c>
      <c r="AB7" s="175" t="s">
        <v>33</v>
      </c>
      <c r="AC7" s="74">
        <v>1</v>
      </c>
      <c r="AD7" s="75">
        <v>2</v>
      </c>
      <c r="AE7" s="75">
        <v>3</v>
      </c>
      <c r="AF7" s="75">
        <v>4</v>
      </c>
      <c r="AG7" s="75">
        <v>5</v>
      </c>
      <c r="AH7" s="75">
        <v>6</v>
      </c>
      <c r="AI7" s="75">
        <v>7</v>
      </c>
      <c r="AJ7" s="75">
        <v>8</v>
      </c>
      <c r="AK7" s="75">
        <v>9</v>
      </c>
      <c r="AL7" s="75">
        <v>10</v>
      </c>
      <c r="AM7" s="75">
        <v>11</v>
      </c>
      <c r="AN7" s="76">
        <v>12</v>
      </c>
      <c r="AO7" s="183"/>
      <c r="AP7" s="184"/>
      <c r="AQ7" s="184"/>
      <c r="AR7" s="184"/>
      <c r="AS7" s="184"/>
      <c r="AT7" s="185"/>
      <c r="AU7" s="188"/>
    </row>
    <row r="8" spans="1:51" ht="42" thickBot="1">
      <c r="A8" s="135"/>
      <c r="B8" s="153"/>
      <c r="C8" s="153"/>
      <c r="D8" s="36" t="s">
        <v>34</v>
      </c>
      <c r="E8" s="43" t="s">
        <v>35</v>
      </c>
      <c r="F8" s="137"/>
      <c r="G8" s="137"/>
      <c r="H8" s="137"/>
      <c r="I8" s="137"/>
      <c r="J8" s="137"/>
      <c r="K8" s="137"/>
      <c r="L8" s="137"/>
      <c r="M8" s="137"/>
      <c r="N8" s="137"/>
      <c r="O8" s="154"/>
      <c r="P8" s="143"/>
      <c r="Q8" s="147"/>
      <c r="R8" s="35" t="s">
        <v>36</v>
      </c>
      <c r="S8" s="35" t="s">
        <v>37</v>
      </c>
      <c r="T8" s="35" t="s">
        <v>38</v>
      </c>
      <c r="U8" s="5" t="s">
        <v>37</v>
      </c>
      <c r="V8" s="139"/>
      <c r="W8" s="141"/>
      <c r="X8" s="170"/>
      <c r="Y8" s="172"/>
      <c r="Z8" s="174"/>
      <c r="AA8" s="174"/>
      <c r="AB8" s="176"/>
      <c r="AC8" s="71" t="s">
        <v>39</v>
      </c>
      <c r="AD8" s="72" t="s">
        <v>40</v>
      </c>
      <c r="AE8" s="72" t="s">
        <v>41</v>
      </c>
      <c r="AF8" s="72" t="s">
        <v>26</v>
      </c>
      <c r="AG8" s="72" t="s">
        <v>42</v>
      </c>
      <c r="AH8" s="72" t="s">
        <v>43</v>
      </c>
      <c r="AI8" s="72" t="s">
        <v>44</v>
      </c>
      <c r="AJ8" s="72" t="s">
        <v>45</v>
      </c>
      <c r="AK8" s="72" t="s">
        <v>46</v>
      </c>
      <c r="AL8" s="72" t="s">
        <v>47</v>
      </c>
      <c r="AM8" s="72" t="s">
        <v>48</v>
      </c>
      <c r="AN8" s="73" t="s">
        <v>49</v>
      </c>
      <c r="AO8" s="37" t="s">
        <v>50</v>
      </c>
      <c r="AP8" s="38" t="s">
        <v>51</v>
      </c>
      <c r="AQ8" s="38" t="s">
        <v>52</v>
      </c>
      <c r="AR8" s="38" t="s">
        <v>53</v>
      </c>
      <c r="AS8" s="39" t="s">
        <v>54</v>
      </c>
      <c r="AT8" s="40" t="s">
        <v>55</v>
      </c>
      <c r="AU8" s="189"/>
      <c r="AX8" s="3" t="s">
        <v>56</v>
      </c>
      <c r="AY8" s="3" t="s">
        <v>57</v>
      </c>
    </row>
    <row r="9" spans="1:51" ht="50.1" customHeight="1" thickBot="1">
      <c r="A9" s="20">
        <v>1</v>
      </c>
      <c r="B9" s="20" t="s">
        <v>58</v>
      </c>
      <c r="C9" s="20" t="s">
        <v>59</v>
      </c>
      <c r="D9" s="20">
        <v>707101.17</v>
      </c>
      <c r="E9" s="20">
        <v>189479.67</v>
      </c>
      <c r="F9" s="20" t="s">
        <v>60</v>
      </c>
      <c r="G9" s="20" t="s">
        <v>61</v>
      </c>
      <c r="H9" s="112" t="s">
        <v>62</v>
      </c>
      <c r="I9" s="23">
        <v>0</v>
      </c>
      <c r="J9" s="20">
        <v>0</v>
      </c>
      <c r="K9" s="23">
        <f>I9+J9</f>
        <v>0</v>
      </c>
      <c r="L9" s="20">
        <v>7.1390305284921398</v>
      </c>
      <c r="M9" s="24">
        <v>7.1390305284921398</v>
      </c>
      <c r="N9" s="20" t="s">
        <v>63</v>
      </c>
      <c r="O9" s="1" t="s">
        <v>64</v>
      </c>
      <c r="P9" s="70">
        <v>38596</v>
      </c>
      <c r="Q9" s="24">
        <f t="shared" ref="Q9:Q40" si="0">2026-YEAR(P9)</f>
        <v>21</v>
      </c>
      <c r="R9" s="24">
        <v>61.4</v>
      </c>
      <c r="S9" s="24" t="s">
        <v>65</v>
      </c>
      <c r="T9" s="24">
        <v>98</v>
      </c>
      <c r="U9" s="113" t="s">
        <v>66</v>
      </c>
      <c r="V9" s="113" t="s">
        <v>67</v>
      </c>
      <c r="W9" s="113" t="s">
        <v>68</v>
      </c>
      <c r="X9" s="113" t="s">
        <v>69</v>
      </c>
      <c r="Y9" s="113" t="s">
        <v>70</v>
      </c>
      <c r="Z9" s="113" t="s">
        <v>71</v>
      </c>
      <c r="AA9" s="113" t="s">
        <v>72</v>
      </c>
      <c r="AB9" s="113" t="s">
        <v>73</v>
      </c>
      <c r="AC9" s="6">
        <v>2</v>
      </c>
      <c r="AD9" s="6">
        <f>IF(K9&gt;600,5,
IF(K9&gt;300,4,
IF(K9&gt;150,3,
IF(K9&gt;50,2,1))))</f>
        <v>1</v>
      </c>
      <c r="AE9" s="6">
        <v>2</v>
      </c>
      <c r="AF9" s="6">
        <v>1</v>
      </c>
      <c r="AG9" s="6">
        <v>3</v>
      </c>
      <c r="AH9" s="6">
        <v>2</v>
      </c>
      <c r="AI9" s="6">
        <v>3</v>
      </c>
      <c r="AJ9" s="6">
        <v>2</v>
      </c>
      <c r="AK9" s="6">
        <v>2</v>
      </c>
      <c r="AL9" s="6">
        <v>3</v>
      </c>
      <c r="AM9" s="6">
        <v>3</v>
      </c>
      <c r="AN9" s="6">
        <v>3</v>
      </c>
      <c r="AO9" s="114">
        <f>IFERROR(IF(COUNT(AC9:AN9)=12,(AC9*'[1]Parameter Weights'!$F$7+AD9*'[1]Parameter Weights'!$F$9+AE9*'[1]Parameter Weights'!$F$10+AF9*'[1]Parameter Weights'!$F$11+AG9*'[1]Parameter Weights'!$F$12+AH9*'[1]Parameter Weights'!$F$13+AI9*'[1]Parameter Weights'!$F$14+AJ9*'[1]Parameter Weights'!$F$16+AK9*'[1]Parameter Weights'!$F$17+AL9*'[1]Parameter Weights'!$F$18+AM9*'[1]Parameter Weights'!$F$19+AN9*'[1]Parameter Weights'!$F$20)*20,IF(COUNT(AC9:AN9)=0,"","Incomplete")),"Check inputs")</f>
        <v>42.999999999999986</v>
      </c>
      <c r="AP9" s="115" t="s">
        <v>2</v>
      </c>
      <c r="AQ9" s="116" t="str">
        <f t="shared" ref="AQ9:AQ71" si="1">IF(AG9="","",IF(AG9=1,"YES","No"))</f>
        <v>No</v>
      </c>
      <c r="AR9" s="116" t="s">
        <v>2</v>
      </c>
      <c r="AS9" s="116" t="str">
        <f t="shared" ref="AS9:AS67" si="2">IF(AO9="","",IF(OR(AP9="YES",AQ9="YES",AR9="YES"),"Excluded",IF(AO9="Incomplete","Pending",IF(AO9&gt;=75,"Tier 1",IF(AO9&gt;=55,"Tier 2",IF(AO9&gt;=35,"Tier 3","Defer / Abandon"))))))</f>
        <v>Tier 3</v>
      </c>
      <c r="AT9" s="116" t="str">
        <f t="shared" ref="AT9:AT71" si="3">IF(AS9="","",IF(AS9="Excluded","Resolve knockout before screening (HSE / Integrity / Facility)",IF(AS9="Pending","Complete scoring inputs",IF(AS9="Tier 1","Quick win: surface or rigless intervention, fast payout",IF(AS9="Tier 2","Engineering intervention, validate economics at base oil price",IF(AS9="Tier 3","Major workover, execute after Tier 1 and 2 validate economics","Defer to abandonment study"))))))</f>
        <v>Major workover, execute after Tier 1 and 2 validate economics</v>
      </c>
      <c r="AU9" s="117" t="s">
        <v>74</v>
      </c>
      <c r="AX9" s="3">
        <f t="shared" ref="AX9:AX40" si="4">AC9+AD9+AE9+AK9+AN9</f>
        <v>10</v>
      </c>
      <c r="AY9" s="3">
        <f t="shared" ref="AY9:AY40" si="5">AG9+AJ9+AH9</f>
        <v>7</v>
      </c>
    </row>
    <row r="10" spans="1:51" s="4" customFormat="1" ht="50.1" customHeight="1" thickBot="1">
      <c r="A10" s="21">
        <v>2</v>
      </c>
      <c r="B10" s="21" t="s">
        <v>75</v>
      </c>
      <c r="C10" s="20" t="s">
        <v>59</v>
      </c>
      <c r="D10" s="20" t="s">
        <v>76</v>
      </c>
      <c r="E10" s="20" t="s">
        <v>76</v>
      </c>
      <c r="F10" s="21" t="s">
        <v>60</v>
      </c>
      <c r="G10" s="20"/>
      <c r="H10" s="112"/>
      <c r="I10" s="23">
        <v>0</v>
      </c>
      <c r="J10" s="20">
        <v>0</v>
      </c>
      <c r="K10" s="23">
        <f>I10+J10</f>
        <v>0</v>
      </c>
      <c r="L10" s="20">
        <v>2.8350759292877501</v>
      </c>
      <c r="M10" s="24">
        <v>1.6428933890470999E-2</v>
      </c>
      <c r="N10" s="20" t="s">
        <v>63</v>
      </c>
      <c r="O10" s="1" t="s">
        <v>64</v>
      </c>
      <c r="P10" s="70">
        <v>41334</v>
      </c>
      <c r="Q10" s="24">
        <f t="shared" si="0"/>
        <v>13</v>
      </c>
      <c r="R10" s="24">
        <v>4.5999999999999996</v>
      </c>
      <c r="S10" s="24" t="s">
        <v>77</v>
      </c>
      <c r="T10" s="26">
        <v>99.8</v>
      </c>
      <c r="U10" s="22" t="s">
        <v>78</v>
      </c>
      <c r="V10" s="22" t="s">
        <v>79</v>
      </c>
      <c r="W10" s="22" t="s">
        <v>80</v>
      </c>
      <c r="X10" s="22" t="s">
        <v>81</v>
      </c>
      <c r="Y10" s="22" t="s">
        <v>82</v>
      </c>
      <c r="Z10" s="22" t="s">
        <v>83</v>
      </c>
      <c r="AA10" s="22" t="s">
        <v>84</v>
      </c>
      <c r="AB10" s="22" t="s">
        <v>85</v>
      </c>
      <c r="AC10" s="10">
        <v>3</v>
      </c>
      <c r="AD10" s="6">
        <f t="shared" ref="AD10:AD67" si="6">IF(K10&gt;600,5,
IF(K10&gt;300,4,
IF(K10&gt;150,3,
IF(K10&gt;50,2,1))))</f>
        <v>1</v>
      </c>
      <c r="AE10" s="10">
        <v>3</v>
      </c>
      <c r="AF10" s="10">
        <v>1</v>
      </c>
      <c r="AG10" s="10">
        <v>3</v>
      </c>
      <c r="AH10" s="10">
        <v>3</v>
      </c>
      <c r="AI10" s="10">
        <v>3</v>
      </c>
      <c r="AJ10" s="10">
        <v>3</v>
      </c>
      <c r="AK10" s="10">
        <v>3</v>
      </c>
      <c r="AL10" s="10">
        <v>2</v>
      </c>
      <c r="AM10" s="10">
        <v>2</v>
      </c>
      <c r="AN10" s="10">
        <v>2</v>
      </c>
      <c r="AO10" s="7">
        <f>IFERROR(IF(COUNT(AC10:AN10)=12,(AC10*'[1]Parameter Weights'!$F$7+AD10*'[1]Parameter Weights'!$F$9+AE10*'[1]Parameter Weights'!$F$10+AF10*'[1]Parameter Weights'!$F$11+AG10*'[1]Parameter Weights'!$F$12+AH10*'[1]Parameter Weights'!$F$13+AI10*'[1]Parameter Weights'!$F$14+AJ10*'[1]Parameter Weights'!$F$16+AK10*'[1]Parameter Weights'!$F$17+AL10*'[1]Parameter Weights'!$F$18+AM10*'[1]Parameter Weights'!$F$19+AN10*'[1]Parameter Weights'!$F$20)*20,IF(COUNT(AC10:AN10)=0,"","Incomplete")),"Check inputs")</f>
        <v>49.000000000000014</v>
      </c>
      <c r="AP10" s="8" t="s">
        <v>2</v>
      </c>
      <c r="AQ10" s="9" t="str">
        <f t="shared" si="1"/>
        <v>No</v>
      </c>
      <c r="AR10" s="9" t="s">
        <v>2</v>
      </c>
      <c r="AS10" s="9" t="str">
        <f t="shared" si="2"/>
        <v>Tier 3</v>
      </c>
      <c r="AT10" s="9" t="str">
        <f t="shared" si="3"/>
        <v>Major workover, execute after Tier 1 and 2 validate economics</v>
      </c>
      <c r="AU10" s="28" t="s">
        <v>86</v>
      </c>
      <c r="AX10" s="119">
        <f t="shared" si="4"/>
        <v>12</v>
      </c>
      <c r="AY10" s="119">
        <f t="shared" si="5"/>
        <v>9</v>
      </c>
    </row>
    <row r="11" spans="1:51" ht="50.1" customHeight="1" thickBot="1">
      <c r="A11" s="20">
        <v>3</v>
      </c>
      <c r="B11" s="21" t="s">
        <v>87</v>
      </c>
      <c r="C11" s="20" t="s">
        <v>59</v>
      </c>
      <c r="D11" s="20">
        <v>717617.6</v>
      </c>
      <c r="E11" s="20">
        <v>186368.5</v>
      </c>
      <c r="F11" s="21" t="s">
        <v>88</v>
      </c>
      <c r="G11" s="21" t="s">
        <v>89</v>
      </c>
      <c r="H11" s="41" t="s">
        <v>90</v>
      </c>
      <c r="I11" s="23">
        <v>0</v>
      </c>
      <c r="J11" s="20">
        <v>0</v>
      </c>
      <c r="K11" s="23">
        <f>I11+J11</f>
        <v>0</v>
      </c>
      <c r="L11" s="20">
        <v>16.5033304475891</v>
      </c>
      <c r="M11" s="24">
        <v>16.5033304475891</v>
      </c>
      <c r="N11" s="20" t="s">
        <v>63</v>
      </c>
      <c r="O11" s="1" t="s">
        <v>64</v>
      </c>
      <c r="P11" s="70">
        <v>38292</v>
      </c>
      <c r="Q11" s="24">
        <f t="shared" si="0"/>
        <v>22</v>
      </c>
      <c r="R11" s="24">
        <v>13.4</v>
      </c>
      <c r="S11" s="24" t="s">
        <v>91</v>
      </c>
      <c r="T11" s="26">
        <v>99.3</v>
      </c>
      <c r="U11" s="22" t="s">
        <v>92</v>
      </c>
      <c r="V11" s="22" t="s">
        <v>93</v>
      </c>
      <c r="W11" s="22" t="s">
        <v>94</v>
      </c>
      <c r="X11" s="22" t="s">
        <v>95</v>
      </c>
      <c r="Y11" s="22" t="s">
        <v>96</v>
      </c>
      <c r="Z11" s="22" t="s">
        <v>97</v>
      </c>
      <c r="AA11" s="22" t="s">
        <v>98</v>
      </c>
      <c r="AB11" s="22" t="s">
        <v>99</v>
      </c>
      <c r="AC11" s="10">
        <v>2</v>
      </c>
      <c r="AD11" s="6">
        <f t="shared" si="6"/>
        <v>1</v>
      </c>
      <c r="AE11" s="10">
        <v>3</v>
      </c>
      <c r="AF11" s="10">
        <v>2</v>
      </c>
      <c r="AG11" s="10">
        <v>3</v>
      </c>
      <c r="AH11" s="10">
        <v>3</v>
      </c>
      <c r="AI11" s="10">
        <v>3</v>
      </c>
      <c r="AJ11" s="10">
        <v>2</v>
      </c>
      <c r="AK11" s="10">
        <v>2</v>
      </c>
      <c r="AL11" s="10">
        <v>3</v>
      </c>
      <c r="AM11" s="10">
        <v>3</v>
      </c>
      <c r="AN11" s="10">
        <v>3</v>
      </c>
      <c r="AO11" s="7">
        <f>IFERROR(IF(COUNT(AC11:AN11)=12,(AC11*'[1]Parameter Weights'!$F$7+AD11*'[1]Parameter Weights'!$F$9+AE11*'[1]Parameter Weights'!$F$10+AF11*'[1]Parameter Weights'!$F$11+AG11*'[1]Parameter Weights'!$F$12+AH11*'[1]Parameter Weights'!$F$13+AI11*'[1]Parameter Weights'!$F$14+AJ11*'[1]Parameter Weights'!$F$16+AK11*'[1]Parameter Weights'!$F$17+AL11*'[1]Parameter Weights'!$F$18+AM11*'[1]Parameter Weights'!$F$19+AN11*'[1]Parameter Weights'!$F$20)*20,IF(COUNT(AC11:AN11)=0,"","Incomplete")),"Check inputs")</f>
        <v>46.999999999999993</v>
      </c>
      <c r="AP11" s="8" t="s">
        <v>2</v>
      </c>
      <c r="AQ11" s="9" t="str">
        <f t="shared" si="1"/>
        <v>No</v>
      </c>
      <c r="AR11" s="9" t="s">
        <v>2</v>
      </c>
      <c r="AS11" s="9" t="str">
        <f t="shared" si="2"/>
        <v>Tier 3</v>
      </c>
      <c r="AT11" s="27" t="str">
        <f t="shared" si="3"/>
        <v>Major workover, execute after Tier 1 and 2 validate economics</v>
      </c>
      <c r="AU11" s="28" t="s">
        <v>100</v>
      </c>
      <c r="AX11" s="3">
        <f t="shared" si="4"/>
        <v>11</v>
      </c>
      <c r="AY11" s="3">
        <f t="shared" si="5"/>
        <v>8</v>
      </c>
    </row>
    <row r="12" spans="1:51" ht="50.1" customHeight="1" thickBot="1">
      <c r="A12" s="21">
        <v>4</v>
      </c>
      <c r="B12" s="21" t="s">
        <v>101</v>
      </c>
      <c r="C12" s="20" t="s">
        <v>59</v>
      </c>
      <c r="D12" s="20">
        <v>701432.86</v>
      </c>
      <c r="E12" s="20">
        <v>184285.59</v>
      </c>
      <c r="F12" s="21" t="s">
        <v>102</v>
      </c>
      <c r="G12" s="21" t="s">
        <v>103</v>
      </c>
      <c r="H12" s="41" t="s">
        <v>104</v>
      </c>
      <c r="I12" s="23">
        <v>67</v>
      </c>
      <c r="J12" s="20">
        <v>0</v>
      </c>
      <c r="K12" s="23">
        <f t="shared" ref="K12:K74" si="7">I12+J12</f>
        <v>67</v>
      </c>
      <c r="L12" s="20">
        <v>0.16088164001758701</v>
      </c>
      <c r="M12" s="24">
        <v>0.16088164001758701</v>
      </c>
      <c r="N12" s="20" t="s">
        <v>63</v>
      </c>
      <c r="O12" s="1" t="s">
        <v>64</v>
      </c>
      <c r="P12" s="70">
        <v>41944</v>
      </c>
      <c r="Q12" s="24">
        <f t="shared" si="0"/>
        <v>12</v>
      </c>
      <c r="R12" s="24">
        <v>3</v>
      </c>
      <c r="S12" s="24" t="s">
        <v>105</v>
      </c>
      <c r="T12" s="26">
        <v>99.9</v>
      </c>
      <c r="U12" s="22" t="s">
        <v>106</v>
      </c>
      <c r="V12" s="22" t="s">
        <v>107</v>
      </c>
      <c r="W12" s="22" t="s">
        <v>108</v>
      </c>
      <c r="X12" s="22" t="s">
        <v>109</v>
      </c>
      <c r="Y12" s="22" t="s">
        <v>110</v>
      </c>
      <c r="Z12" s="22" t="s">
        <v>97</v>
      </c>
      <c r="AA12" s="22" t="s">
        <v>111</v>
      </c>
      <c r="AB12" s="22" t="s">
        <v>112</v>
      </c>
      <c r="AC12" s="10">
        <v>2</v>
      </c>
      <c r="AD12" s="6">
        <f t="shared" si="6"/>
        <v>2</v>
      </c>
      <c r="AE12" s="10">
        <v>3</v>
      </c>
      <c r="AF12" s="10">
        <v>1</v>
      </c>
      <c r="AG12" s="10">
        <v>3</v>
      </c>
      <c r="AH12" s="10">
        <v>3</v>
      </c>
      <c r="AI12" s="10">
        <v>3</v>
      </c>
      <c r="AJ12" s="10">
        <v>2</v>
      </c>
      <c r="AK12" s="10">
        <v>2</v>
      </c>
      <c r="AL12" s="10">
        <v>3</v>
      </c>
      <c r="AM12" s="10">
        <v>3</v>
      </c>
      <c r="AN12" s="10">
        <v>3</v>
      </c>
      <c r="AO12" s="7">
        <f>IFERROR(IF(COUNT(AC12:AN12)=12,(AC12*'[1]Parameter Weights'!$F$7+AD12*'[1]Parameter Weights'!$F$9+AE12*'[1]Parameter Weights'!$F$10+AF12*'[1]Parameter Weights'!$F$11+AG12*'[1]Parameter Weights'!$F$12+AH12*'[1]Parameter Weights'!$F$13+AI12*'[1]Parameter Weights'!$F$14+AJ12*'[1]Parameter Weights'!$F$16+AK12*'[1]Parameter Weights'!$F$17+AL12*'[1]Parameter Weights'!$F$18+AM12*'[1]Parameter Weights'!$F$19+AN12*'[1]Parameter Weights'!$F$20)*20,IF(COUNT(AC12:AN12)=0,"","Incomplete")),"Check inputs")</f>
        <v>48.999999999999993</v>
      </c>
      <c r="AP12" s="8" t="s">
        <v>2</v>
      </c>
      <c r="AQ12" s="9" t="str">
        <f t="shared" si="1"/>
        <v>No</v>
      </c>
      <c r="AR12" s="9" t="s">
        <v>2</v>
      </c>
      <c r="AS12" s="9" t="str">
        <f t="shared" si="2"/>
        <v>Tier 3</v>
      </c>
      <c r="AT12" s="27" t="str">
        <f t="shared" si="3"/>
        <v>Major workover, execute after Tier 1 and 2 validate economics</v>
      </c>
      <c r="AU12" s="28" t="s">
        <v>113</v>
      </c>
      <c r="AX12" s="3">
        <f t="shared" si="4"/>
        <v>12</v>
      </c>
      <c r="AY12" s="3">
        <f t="shared" si="5"/>
        <v>8</v>
      </c>
    </row>
    <row r="13" spans="1:51" ht="50.1" customHeight="1" thickBot="1">
      <c r="A13" s="21">
        <v>5</v>
      </c>
      <c r="B13" s="21" t="s">
        <v>114</v>
      </c>
      <c r="C13" s="20" t="s">
        <v>59</v>
      </c>
      <c r="D13" s="20">
        <v>737231.9</v>
      </c>
      <c r="E13" s="20">
        <v>136843.98000000001</v>
      </c>
      <c r="F13" s="21" t="s">
        <v>115</v>
      </c>
      <c r="G13" s="21" t="s">
        <v>116</v>
      </c>
      <c r="H13" s="41" t="s">
        <v>117</v>
      </c>
      <c r="I13" s="23">
        <v>0</v>
      </c>
      <c r="J13" s="20">
        <v>200</v>
      </c>
      <c r="K13" s="23">
        <f t="shared" si="7"/>
        <v>200</v>
      </c>
      <c r="L13" s="20">
        <v>3.64113993210688</v>
      </c>
      <c r="M13" s="24">
        <v>3.64113993210688</v>
      </c>
      <c r="N13" s="20" t="s">
        <v>63</v>
      </c>
      <c r="O13" s="1" t="s">
        <v>64</v>
      </c>
      <c r="P13" s="70">
        <v>26999</v>
      </c>
      <c r="Q13" s="24">
        <f t="shared" si="0"/>
        <v>53</v>
      </c>
      <c r="R13" s="24">
        <v>3.8</v>
      </c>
      <c r="S13" s="24" t="s">
        <v>118</v>
      </c>
      <c r="T13" s="26">
        <v>98.3</v>
      </c>
      <c r="U13" s="22" t="s">
        <v>119</v>
      </c>
      <c r="V13" s="25" t="s">
        <v>120</v>
      </c>
      <c r="W13" s="25" t="s">
        <v>120</v>
      </c>
      <c r="X13" s="22" t="s">
        <v>121</v>
      </c>
      <c r="Y13" s="22" t="s">
        <v>122</v>
      </c>
      <c r="Z13" s="22" t="s">
        <v>123</v>
      </c>
      <c r="AA13" s="22" t="s">
        <v>124</v>
      </c>
      <c r="AB13" s="22" t="s">
        <v>120</v>
      </c>
      <c r="AC13" s="11">
        <v>1</v>
      </c>
      <c r="AD13" s="6">
        <f t="shared" si="6"/>
        <v>3</v>
      </c>
      <c r="AE13" s="11">
        <v>1</v>
      </c>
      <c r="AF13" s="11">
        <v>1</v>
      </c>
      <c r="AG13" s="11">
        <v>3</v>
      </c>
      <c r="AH13" s="11">
        <v>2</v>
      </c>
      <c r="AI13" s="11">
        <v>3</v>
      </c>
      <c r="AJ13" s="11">
        <v>2</v>
      </c>
      <c r="AK13" s="11">
        <v>1</v>
      </c>
      <c r="AL13" s="11">
        <v>1</v>
      </c>
      <c r="AM13" s="11">
        <v>2</v>
      </c>
      <c r="AN13" s="11">
        <v>2</v>
      </c>
      <c r="AO13" s="7">
        <f>IFERROR(IF(COUNT(AC13:AN13)=12,(AC13*'[1]Parameter Weights'!$F$7+AD13*'[1]Parameter Weights'!$F$9+AE13*'[1]Parameter Weights'!$F$10+AF13*'[1]Parameter Weights'!$F$11+AG13*'[1]Parameter Weights'!$F$12+AH13*'[1]Parameter Weights'!$F$13+AI13*'[1]Parameter Weights'!$F$14+AJ13*'[1]Parameter Weights'!$F$16+AK13*'[1]Parameter Weights'!$F$17+AL13*'[1]Parameter Weights'!$F$18+AM13*'[1]Parameter Weights'!$F$19+AN13*'[1]Parameter Weights'!$F$20)*20,IF(COUNT(AC13:AN13)=0,"","Incomplete")),"Check inputs")</f>
        <v>40.000000000000007</v>
      </c>
      <c r="AP13" s="8" t="s">
        <v>2</v>
      </c>
      <c r="AQ13" s="9" t="str">
        <f t="shared" si="1"/>
        <v>No</v>
      </c>
      <c r="AR13" s="9" t="s">
        <v>2</v>
      </c>
      <c r="AS13" s="9" t="str">
        <f t="shared" si="2"/>
        <v>Tier 3</v>
      </c>
      <c r="AT13" s="27" t="str">
        <f t="shared" si="3"/>
        <v>Major workover, execute after Tier 1 and 2 validate economics</v>
      </c>
      <c r="AU13" s="28" t="s">
        <v>125</v>
      </c>
      <c r="AX13" s="3">
        <f t="shared" si="4"/>
        <v>8</v>
      </c>
      <c r="AY13" s="3">
        <f t="shared" si="5"/>
        <v>7</v>
      </c>
    </row>
    <row r="14" spans="1:51" ht="50.1" customHeight="1" thickBot="1">
      <c r="A14" s="21">
        <v>6</v>
      </c>
      <c r="B14" s="21" t="s">
        <v>126</v>
      </c>
      <c r="C14" s="20" t="s">
        <v>59</v>
      </c>
      <c r="D14" s="20">
        <v>732674.76</v>
      </c>
      <c r="E14" s="20">
        <v>169122.97</v>
      </c>
      <c r="F14" s="21" t="s">
        <v>127</v>
      </c>
      <c r="G14" s="21" t="s">
        <v>128</v>
      </c>
      <c r="H14" s="41" t="s">
        <v>129</v>
      </c>
      <c r="I14" s="23">
        <v>1019</v>
      </c>
      <c r="J14" s="20">
        <v>0</v>
      </c>
      <c r="K14" s="23">
        <f t="shared" si="7"/>
        <v>1019</v>
      </c>
      <c r="L14" s="20">
        <v>0.18474207722347299</v>
      </c>
      <c r="M14" s="24">
        <v>5.70552310189738E-2</v>
      </c>
      <c r="N14" s="20" t="s">
        <v>63</v>
      </c>
      <c r="O14" s="1" t="s">
        <v>130</v>
      </c>
      <c r="P14" s="70">
        <v>42095</v>
      </c>
      <c r="Q14" s="24">
        <f t="shared" si="0"/>
        <v>11</v>
      </c>
      <c r="R14" s="24">
        <v>11</v>
      </c>
      <c r="S14" s="24" t="s">
        <v>131</v>
      </c>
      <c r="T14" s="26">
        <v>99.1</v>
      </c>
      <c r="U14" s="22" t="s">
        <v>132</v>
      </c>
      <c r="V14" s="22" t="s">
        <v>133</v>
      </c>
      <c r="W14" s="22" t="s">
        <v>134</v>
      </c>
      <c r="X14" s="22" t="s">
        <v>135</v>
      </c>
      <c r="Y14" s="22" t="s">
        <v>136</v>
      </c>
      <c r="Z14" s="22" t="s">
        <v>137</v>
      </c>
      <c r="AA14" s="22" t="s">
        <v>138</v>
      </c>
      <c r="AB14" s="22" t="s">
        <v>139</v>
      </c>
      <c r="AC14" s="11">
        <v>2</v>
      </c>
      <c r="AD14" s="6">
        <f t="shared" si="6"/>
        <v>5</v>
      </c>
      <c r="AE14" s="11">
        <v>3</v>
      </c>
      <c r="AF14" s="11">
        <v>1</v>
      </c>
      <c r="AG14" s="11">
        <v>3</v>
      </c>
      <c r="AH14" s="11">
        <v>3</v>
      </c>
      <c r="AI14" s="11">
        <v>3</v>
      </c>
      <c r="AJ14" s="11">
        <v>2</v>
      </c>
      <c r="AK14" s="11">
        <v>2</v>
      </c>
      <c r="AL14" s="11">
        <v>4</v>
      </c>
      <c r="AM14" s="11">
        <v>2</v>
      </c>
      <c r="AN14" s="11">
        <v>4</v>
      </c>
      <c r="AO14" s="7">
        <f>IFERROR(IF(COUNT(AC14:AN14)=12,(AC14*'[1]Parameter Weights'!$F$7+AD14*'[1]Parameter Weights'!$F$9+AE14*'[1]Parameter Weights'!$F$10+AF14*'[1]Parameter Weights'!$F$11+AG14*'[1]Parameter Weights'!$F$12+AH14*'[1]Parameter Weights'!$F$13+AI14*'[1]Parameter Weights'!$F$14+AJ14*'[1]Parameter Weights'!$F$16+AK14*'[1]Parameter Weights'!$F$17+AL14*'[1]Parameter Weights'!$F$18+AM14*'[1]Parameter Weights'!$F$19+AN14*'[1]Parameter Weights'!$F$20)*20,IF(COUNT(AC14:AN14)=0,"","Incomplete")),"Check inputs")</f>
        <v>59.000000000000021</v>
      </c>
      <c r="AP14" s="8" t="s">
        <v>2</v>
      </c>
      <c r="AQ14" s="9" t="str">
        <f t="shared" si="1"/>
        <v>No</v>
      </c>
      <c r="AR14" s="9" t="s">
        <v>2</v>
      </c>
      <c r="AS14" s="9" t="str">
        <f t="shared" si="2"/>
        <v>Tier 2</v>
      </c>
      <c r="AT14" s="27" t="str">
        <f t="shared" si="3"/>
        <v>Engineering intervention, validate economics at base oil price</v>
      </c>
      <c r="AU14" s="28" t="s">
        <v>140</v>
      </c>
      <c r="AX14" s="3">
        <f t="shared" si="4"/>
        <v>16</v>
      </c>
      <c r="AY14" s="3">
        <f t="shared" si="5"/>
        <v>8</v>
      </c>
    </row>
    <row r="15" spans="1:51" ht="50.1" customHeight="1" thickBot="1">
      <c r="A15" s="20">
        <v>7</v>
      </c>
      <c r="B15" s="21" t="s">
        <v>141</v>
      </c>
      <c r="C15" s="20" t="s">
        <v>59</v>
      </c>
      <c r="D15" s="20">
        <v>727293.24</v>
      </c>
      <c r="E15" s="20">
        <v>107414.27</v>
      </c>
      <c r="F15" s="21" t="s">
        <v>142</v>
      </c>
      <c r="G15" s="21" t="s">
        <v>143</v>
      </c>
      <c r="H15" s="41" t="s">
        <v>144</v>
      </c>
      <c r="I15" s="23">
        <v>553</v>
      </c>
      <c r="J15" s="20">
        <v>94</v>
      </c>
      <c r="K15" s="23">
        <f t="shared" si="7"/>
        <v>647</v>
      </c>
      <c r="L15" s="20">
        <v>0.33128136522867502</v>
      </c>
      <c r="M15" s="24">
        <v>0.10602520758280801</v>
      </c>
      <c r="N15" s="20" t="s">
        <v>63</v>
      </c>
      <c r="O15" s="1" t="s">
        <v>130</v>
      </c>
      <c r="P15" s="70" t="s">
        <v>145</v>
      </c>
      <c r="Q15" s="24">
        <f t="shared" si="0"/>
        <v>18</v>
      </c>
      <c r="R15" s="24">
        <v>325</v>
      </c>
      <c r="S15" s="24" t="s">
        <v>146</v>
      </c>
      <c r="T15" s="26">
        <v>99.9</v>
      </c>
      <c r="U15" s="20" t="e">
        <f>VLOOKUP(P15,[2]Assessment!$A$4:$BO$101,19,FALSE)</f>
        <v>#N/A</v>
      </c>
      <c r="V15" s="29" t="s">
        <v>147</v>
      </c>
      <c r="W15" s="22" t="s">
        <v>148</v>
      </c>
      <c r="X15" s="22" t="s">
        <v>149</v>
      </c>
      <c r="Y15" s="22" t="s">
        <v>150</v>
      </c>
      <c r="Z15" s="22" t="s">
        <v>151</v>
      </c>
      <c r="AA15" s="22" t="s">
        <v>152</v>
      </c>
      <c r="AB15" s="22" t="s">
        <v>153</v>
      </c>
      <c r="AC15" s="10">
        <v>2</v>
      </c>
      <c r="AD15" s="6">
        <f>IF(K15&gt;600,5,
IF(K15&gt;300,4,
IF(K15&gt;150,3,
IF(K15&gt;50,2,1))))</f>
        <v>5</v>
      </c>
      <c r="AE15" s="10">
        <v>3</v>
      </c>
      <c r="AF15" s="10">
        <v>5</v>
      </c>
      <c r="AG15" s="10">
        <v>3</v>
      </c>
      <c r="AH15" s="10">
        <v>5</v>
      </c>
      <c r="AI15" s="10">
        <v>3</v>
      </c>
      <c r="AJ15" s="10">
        <v>3</v>
      </c>
      <c r="AK15" s="10">
        <v>1</v>
      </c>
      <c r="AL15" s="10">
        <v>2</v>
      </c>
      <c r="AM15" s="10">
        <v>3</v>
      </c>
      <c r="AN15" s="10">
        <v>3</v>
      </c>
      <c r="AO15" s="7">
        <f>IFERROR(IF(COUNT(AC15:AN15)=12,(AC15*'[1]Parameter Weights'!$F$7+AD15*'[1]Parameter Weights'!$F$9+AE15*'[1]Parameter Weights'!$F$10+AF15*'[1]Parameter Weights'!$F$11+AG15*'[1]Parameter Weights'!$F$12+AH15*'[1]Parameter Weights'!$F$13+AI15*'[1]Parameter Weights'!$F$14+AJ15*'[1]Parameter Weights'!$F$16+AK15*'[1]Parameter Weights'!$F$17+AL15*'[1]Parameter Weights'!$F$18+AM15*'[1]Parameter Weights'!$F$19+AN15*'[1]Parameter Weights'!$F$20)*20,IF(COUNT(AC15:AN15)=0,"","Incomplete")),"Check inputs")</f>
        <v>65</v>
      </c>
      <c r="AP15" s="8" t="s">
        <v>2</v>
      </c>
      <c r="AQ15" s="9" t="str">
        <f t="shared" si="1"/>
        <v>No</v>
      </c>
      <c r="AR15" s="9" t="s">
        <v>2</v>
      </c>
      <c r="AS15" s="9" t="str">
        <f t="shared" si="2"/>
        <v>Tier 2</v>
      </c>
      <c r="AT15" s="27" t="str">
        <f t="shared" si="3"/>
        <v>Engineering intervention, validate economics at base oil price</v>
      </c>
      <c r="AU15" s="28" t="s">
        <v>154</v>
      </c>
      <c r="AX15" s="3">
        <f t="shared" si="4"/>
        <v>14</v>
      </c>
      <c r="AY15" s="3">
        <f t="shared" si="5"/>
        <v>11</v>
      </c>
    </row>
    <row r="16" spans="1:51" ht="50.1" customHeight="1" thickBot="1">
      <c r="A16" s="21">
        <v>8</v>
      </c>
      <c r="B16" s="21" t="s">
        <v>155</v>
      </c>
      <c r="C16" s="20" t="s">
        <v>59</v>
      </c>
      <c r="D16" s="20">
        <v>724372.4</v>
      </c>
      <c r="E16" s="20">
        <v>157383.29999999999</v>
      </c>
      <c r="F16" s="21" t="s">
        <v>156</v>
      </c>
      <c r="G16" s="21" t="s">
        <v>157</v>
      </c>
      <c r="H16" s="41" t="s">
        <v>158</v>
      </c>
      <c r="I16" s="23">
        <v>667</v>
      </c>
      <c r="J16" s="20">
        <v>48</v>
      </c>
      <c r="K16" s="23">
        <f t="shared" si="7"/>
        <v>715</v>
      </c>
      <c r="L16" s="20">
        <v>2.0064772857344901</v>
      </c>
      <c r="M16" s="24">
        <v>1.3948385510568399E-3</v>
      </c>
      <c r="N16" s="20" t="s">
        <v>63</v>
      </c>
      <c r="O16" s="1" t="s">
        <v>64</v>
      </c>
      <c r="P16" s="70">
        <v>42335</v>
      </c>
      <c r="Q16" s="24">
        <f t="shared" si="0"/>
        <v>11</v>
      </c>
      <c r="R16" s="24">
        <v>2</v>
      </c>
      <c r="S16" s="24" t="s">
        <v>159</v>
      </c>
      <c r="T16" s="26">
        <v>99.9</v>
      </c>
      <c r="U16" s="22" t="s">
        <v>160</v>
      </c>
      <c r="V16" s="122" t="s">
        <v>161</v>
      </c>
      <c r="W16" s="29" t="s">
        <v>162</v>
      </c>
      <c r="X16" s="22" t="s">
        <v>163</v>
      </c>
      <c r="Y16" s="22" t="s">
        <v>164</v>
      </c>
      <c r="Z16" s="22" t="s">
        <v>165</v>
      </c>
      <c r="AA16" s="22" t="s">
        <v>166</v>
      </c>
      <c r="AB16" s="22" t="s">
        <v>167</v>
      </c>
      <c r="AC16" s="10">
        <v>2</v>
      </c>
      <c r="AD16" s="6">
        <f t="shared" si="6"/>
        <v>5</v>
      </c>
      <c r="AE16" s="10">
        <v>3</v>
      </c>
      <c r="AF16" s="10">
        <v>1</v>
      </c>
      <c r="AG16" s="10">
        <v>3</v>
      </c>
      <c r="AH16" s="10">
        <v>5</v>
      </c>
      <c r="AI16" s="10">
        <v>3</v>
      </c>
      <c r="AJ16" s="10">
        <v>2</v>
      </c>
      <c r="AK16" s="10">
        <v>2</v>
      </c>
      <c r="AL16" s="10">
        <v>3</v>
      </c>
      <c r="AM16" s="10">
        <v>3</v>
      </c>
      <c r="AN16" s="10">
        <v>3</v>
      </c>
      <c r="AO16" s="7">
        <f>IFERROR(IF(COUNT(AC16:AN16)=12,(AC16*'[1]Parameter Weights'!$F$7+AD16*'[1]Parameter Weights'!$F$9+AE16*'[1]Parameter Weights'!$F$10+AF16*'[1]Parameter Weights'!$F$11+AG16*'[1]Parameter Weights'!$F$12+AH16*'[1]Parameter Weights'!$F$13+AI16*'[1]Parameter Weights'!$F$14+AJ16*'[1]Parameter Weights'!$F$16+AK16*'[1]Parameter Weights'!$F$17+AL16*'[1]Parameter Weights'!$F$18+AM16*'[1]Parameter Weights'!$F$19+AN16*'[1]Parameter Weights'!$F$20)*20,IF(COUNT(AC16:AN16)=0,"","Incomplete")),"Check inputs")</f>
        <v>62</v>
      </c>
      <c r="AP16" s="8" t="s">
        <v>2</v>
      </c>
      <c r="AQ16" s="9" t="str">
        <f t="shared" si="1"/>
        <v>No</v>
      </c>
      <c r="AR16" s="9" t="s">
        <v>2</v>
      </c>
      <c r="AS16" s="9" t="str">
        <f t="shared" si="2"/>
        <v>Tier 2</v>
      </c>
      <c r="AT16" s="27" t="str">
        <f t="shared" si="3"/>
        <v>Engineering intervention, validate economics at base oil price</v>
      </c>
      <c r="AU16" s="28" t="s">
        <v>168</v>
      </c>
      <c r="AX16" s="3">
        <f t="shared" si="4"/>
        <v>15</v>
      </c>
      <c r="AY16" s="3">
        <f t="shared" si="5"/>
        <v>10</v>
      </c>
    </row>
    <row r="17" spans="1:51" ht="50.1" customHeight="1" thickBot="1">
      <c r="A17" s="20">
        <v>9</v>
      </c>
      <c r="B17" s="21" t="s">
        <v>169</v>
      </c>
      <c r="C17" s="20" t="s">
        <v>59</v>
      </c>
      <c r="D17" s="20">
        <v>723971.93</v>
      </c>
      <c r="E17" s="20">
        <v>157413.26999999999</v>
      </c>
      <c r="F17" s="21" t="s">
        <v>156</v>
      </c>
      <c r="G17" s="21" t="s">
        <v>170</v>
      </c>
      <c r="H17" s="41" t="s">
        <v>171</v>
      </c>
      <c r="I17" s="23">
        <v>551</v>
      </c>
      <c r="J17" s="20">
        <v>0</v>
      </c>
      <c r="K17" s="23">
        <f t="shared" si="7"/>
        <v>551</v>
      </c>
      <c r="L17" s="20">
        <v>0.32037697969586698</v>
      </c>
      <c r="M17" s="24">
        <v>0.32037697969586698</v>
      </c>
      <c r="N17" s="20" t="s">
        <v>63</v>
      </c>
      <c r="O17" s="1" t="s">
        <v>64</v>
      </c>
      <c r="P17" s="70">
        <v>38216</v>
      </c>
      <c r="Q17" s="24">
        <f t="shared" si="0"/>
        <v>22</v>
      </c>
      <c r="R17" s="24">
        <v>2.74</v>
      </c>
      <c r="S17" s="24"/>
      <c r="T17" s="26">
        <v>99.9</v>
      </c>
      <c r="U17" s="22"/>
      <c r="V17" s="29" t="s">
        <v>172</v>
      </c>
      <c r="W17" s="22" t="s">
        <v>173</v>
      </c>
      <c r="X17" s="22" t="s">
        <v>174</v>
      </c>
      <c r="Y17" s="22" t="s">
        <v>175</v>
      </c>
      <c r="Z17" s="22" t="s">
        <v>176</v>
      </c>
      <c r="AA17" s="22" t="s">
        <v>177</v>
      </c>
      <c r="AB17" s="22" t="s">
        <v>178</v>
      </c>
      <c r="AC17" s="10">
        <v>3</v>
      </c>
      <c r="AD17" s="6">
        <f t="shared" si="6"/>
        <v>4</v>
      </c>
      <c r="AE17" s="10">
        <v>3</v>
      </c>
      <c r="AF17" s="10">
        <v>1</v>
      </c>
      <c r="AG17" s="10">
        <v>2</v>
      </c>
      <c r="AH17" s="10">
        <v>3</v>
      </c>
      <c r="AI17" s="10">
        <v>3</v>
      </c>
      <c r="AJ17" s="10">
        <v>2</v>
      </c>
      <c r="AK17" s="10">
        <v>2</v>
      </c>
      <c r="AL17" s="10">
        <v>3</v>
      </c>
      <c r="AM17" s="10">
        <v>2</v>
      </c>
      <c r="AN17" s="10">
        <v>3</v>
      </c>
      <c r="AO17" s="7">
        <f>IFERROR(IF(COUNT(AC17:AN17)=12,(AC17*'[1]Parameter Weights'!$F$7+AD17*'[1]Parameter Weights'!$F$9+AE17*'[1]Parameter Weights'!$F$10+AF17*'[1]Parameter Weights'!$F$11+AG17*'[1]Parameter Weights'!$F$12+AH17*'[1]Parameter Weights'!$F$13+AI17*'[1]Parameter Weights'!$F$14+AJ17*'[1]Parameter Weights'!$F$16+AK17*'[1]Parameter Weights'!$F$17+AL17*'[1]Parameter Weights'!$F$18+AM17*'[1]Parameter Weights'!$F$19+AN17*'[1]Parameter Weights'!$F$20)*20,IF(COUNT(AC17:AN17)=0,"","Incomplete")),"Check inputs")</f>
        <v>53.000000000000007</v>
      </c>
      <c r="AP17" s="8" t="s">
        <v>2</v>
      </c>
      <c r="AQ17" s="9" t="str">
        <f t="shared" si="1"/>
        <v>No</v>
      </c>
      <c r="AR17" s="9" t="s">
        <v>2</v>
      </c>
      <c r="AS17" s="9" t="str">
        <f t="shared" si="2"/>
        <v>Tier 3</v>
      </c>
      <c r="AT17" s="27" t="str">
        <f t="shared" si="3"/>
        <v>Major workover, execute after Tier 1 and 2 validate economics</v>
      </c>
      <c r="AU17" s="28" t="s">
        <v>179</v>
      </c>
      <c r="AX17" s="3">
        <f t="shared" si="4"/>
        <v>15</v>
      </c>
      <c r="AY17" s="3">
        <f t="shared" si="5"/>
        <v>7</v>
      </c>
    </row>
    <row r="18" spans="1:51" ht="50.1" customHeight="1" thickBot="1">
      <c r="A18" s="20">
        <v>10</v>
      </c>
      <c r="B18" s="21" t="s">
        <v>180</v>
      </c>
      <c r="C18" s="20" t="s">
        <v>59</v>
      </c>
      <c r="D18" s="20">
        <v>758089.58</v>
      </c>
      <c r="E18" s="20">
        <v>120501.53</v>
      </c>
      <c r="F18" s="21" t="s">
        <v>181</v>
      </c>
      <c r="G18" s="21" t="s">
        <v>182</v>
      </c>
      <c r="H18" s="41" t="s">
        <v>183</v>
      </c>
      <c r="I18" s="23">
        <v>0</v>
      </c>
      <c r="J18" s="20">
        <v>0</v>
      </c>
      <c r="K18" s="23">
        <f t="shared" si="7"/>
        <v>0</v>
      </c>
      <c r="L18" s="20">
        <v>4.7797607895599503</v>
      </c>
      <c r="M18" s="24">
        <v>2.8371578101680499</v>
      </c>
      <c r="N18" s="20" t="s">
        <v>63</v>
      </c>
      <c r="O18" s="1" t="s">
        <v>64</v>
      </c>
      <c r="P18" s="70">
        <v>42295</v>
      </c>
      <c r="Q18" s="24">
        <f t="shared" si="0"/>
        <v>11</v>
      </c>
      <c r="R18" s="24">
        <v>18</v>
      </c>
      <c r="S18" s="24" t="s">
        <v>184</v>
      </c>
      <c r="T18" s="26">
        <v>99.4</v>
      </c>
      <c r="U18" s="22" t="s">
        <v>185</v>
      </c>
      <c r="V18" s="22" t="s">
        <v>186</v>
      </c>
      <c r="W18" s="22" t="s">
        <v>187</v>
      </c>
      <c r="X18" s="22" t="s">
        <v>188</v>
      </c>
      <c r="Y18" s="22" t="s">
        <v>189</v>
      </c>
      <c r="Z18" s="22" t="s">
        <v>190</v>
      </c>
      <c r="AA18" s="22" t="s">
        <v>191</v>
      </c>
      <c r="AB18" s="22" t="s">
        <v>192</v>
      </c>
      <c r="AC18" s="10">
        <v>2</v>
      </c>
      <c r="AD18" s="6">
        <f t="shared" si="6"/>
        <v>1</v>
      </c>
      <c r="AE18" s="10">
        <v>2</v>
      </c>
      <c r="AF18" s="10">
        <v>1</v>
      </c>
      <c r="AG18" s="10">
        <v>3</v>
      </c>
      <c r="AH18" s="10">
        <v>5</v>
      </c>
      <c r="AI18" s="10">
        <v>3</v>
      </c>
      <c r="AJ18" s="10">
        <v>2</v>
      </c>
      <c r="AK18" s="10">
        <v>2</v>
      </c>
      <c r="AL18" s="10">
        <v>3</v>
      </c>
      <c r="AM18" s="10">
        <v>3</v>
      </c>
      <c r="AN18" s="10">
        <v>3</v>
      </c>
      <c r="AO18" s="7">
        <f>IFERROR(IF(COUNT(AC18:AN18)=12,(AC18*'[1]Parameter Weights'!$F$7+AD18*'[1]Parameter Weights'!$F$9+AE18*'[1]Parameter Weights'!$F$10+AF18*'[1]Parameter Weights'!$F$11+AG18*'[1]Parameter Weights'!$F$12+AH18*'[1]Parameter Weights'!$F$13+AI18*'[1]Parameter Weights'!$F$14+AJ18*'[1]Parameter Weights'!$F$16+AK18*'[1]Parameter Weights'!$F$17+AL18*'[1]Parameter Weights'!$F$18+AM18*'[1]Parameter Weights'!$F$19+AN18*'[1]Parameter Weights'!$F$20)*20,IF(COUNT(AC18:AN18)=0,"","Incomplete")),"Check inputs")</f>
        <v>48.999999999999993</v>
      </c>
      <c r="AP18" s="8" t="s">
        <v>2</v>
      </c>
      <c r="AQ18" s="9" t="str">
        <f t="shared" si="1"/>
        <v>No</v>
      </c>
      <c r="AR18" s="9" t="s">
        <v>2</v>
      </c>
      <c r="AS18" s="9" t="str">
        <f t="shared" si="2"/>
        <v>Tier 3</v>
      </c>
      <c r="AT18" s="27" t="str">
        <f t="shared" si="3"/>
        <v>Major workover, execute after Tier 1 and 2 validate economics</v>
      </c>
      <c r="AU18" s="28" t="s">
        <v>193</v>
      </c>
      <c r="AX18" s="3">
        <f t="shared" si="4"/>
        <v>10</v>
      </c>
      <c r="AY18" s="3">
        <f t="shared" si="5"/>
        <v>10</v>
      </c>
    </row>
    <row r="19" spans="1:51" ht="50.1" customHeight="1" thickBot="1">
      <c r="A19" s="20">
        <v>11</v>
      </c>
      <c r="B19" s="21" t="s">
        <v>194</v>
      </c>
      <c r="C19" s="20" t="s">
        <v>59</v>
      </c>
      <c r="D19" s="20">
        <v>702236.05</v>
      </c>
      <c r="E19" s="20">
        <v>145339.85</v>
      </c>
      <c r="F19" s="21" t="s">
        <v>195</v>
      </c>
      <c r="G19" s="21" t="s">
        <v>196</v>
      </c>
      <c r="H19" s="41" t="s">
        <v>197</v>
      </c>
      <c r="I19" s="23">
        <v>0</v>
      </c>
      <c r="J19" s="20">
        <v>0</v>
      </c>
      <c r="K19" s="23">
        <f t="shared" si="7"/>
        <v>0</v>
      </c>
      <c r="L19" s="20" t="e">
        <v>#N/A</v>
      </c>
      <c r="M19" s="24" t="e">
        <v>#N/A</v>
      </c>
      <c r="N19" s="20" t="s">
        <v>63</v>
      </c>
      <c r="O19" s="1" t="s">
        <v>64</v>
      </c>
      <c r="P19" s="70">
        <v>38982</v>
      </c>
      <c r="Q19" s="24">
        <f t="shared" si="0"/>
        <v>20</v>
      </c>
      <c r="R19" s="24">
        <v>17</v>
      </c>
      <c r="S19" s="24" t="s">
        <v>198</v>
      </c>
      <c r="T19" s="26">
        <v>94</v>
      </c>
      <c r="U19" s="22"/>
      <c r="V19" s="22" t="s">
        <v>199</v>
      </c>
      <c r="W19" s="22" t="s">
        <v>200</v>
      </c>
      <c r="X19" s="22" t="s">
        <v>201</v>
      </c>
      <c r="Y19" s="22" t="s">
        <v>202</v>
      </c>
      <c r="Z19" s="22" t="s">
        <v>203</v>
      </c>
      <c r="AA19" s="22" t="s">
        <v>204</v>
      </c>
      <c r="AB19" s="22" t="s">
        <v>205</v>
      </c>
      <c r="AC19" s="10">
        <v>3</v>
      </c>
      <c r="AD19" s="6">
        <f t="shared" si="6"/>
        <v>1</v>
      </c>
      <c r="AE19" s="10">
        <v>3</v>
      </c>
      <c r="AF19" s="10">
        <v>1</v>
      </c>
      <c r="AG19" s="10">
        <v>3</v>
      </c>
      <c r="AH19" s="10">
        <v>4</v>
      </c>
      <c r="AI19" s="10">
        <v>3</v>
      </c>
      <c r="AJ19" s="10">
        <v>2</v>
      </c>
      <c r="AK19" s="10">
        <v>3</v>
      </c>
      <c r="AL19" s="10">
        <v>3</v>
      </c>
      <c r="AM19" s="10">
        <v>4</v>
      </c>
      <c r="AN19" s="10">
        <v>3</v>
      </c>
      <c r="AO19" s="7">
        <f>IFERROR(IF(COUNT(AC19:AN19)=12,(AC19*'[1]Parameter Weights'!$F$7+AD19*'[1]Parameter Weights'!$F$9+AE19*'[1]Parameter Weights'!$F$10+AF19*'[1]Parameter Weights'!$F$11+AG19*'[1]Parameter Weights'!$F$12+AH19*'[1]Parameter Weights'!$F$13+AI19*'[1]Parameter Weights'!$F$14+AJ19*'[1]Parameter Weights'!$F$16+AK19*'[1]Parameter Weights'!$F$17+AL19*'[1]Parameter Weights'!$F$18+AM19*'[1]Parameter Weights'!$F$19+AN19*'[1]Parameter Weights'!$F$20)*20,IF(COUNT(AC19:AN19)=0,"","Incomplete")),"Check inputs")</f>
        <v>53</v>
      </c>
      <c r="AP19" s="8" t="s">
        <v>2</v>
      </c>
      <c r="AQ19" s="9" t="str">
        <f t="shared" si="1"/>
        <v>No</v>
      </c>
      <c r="AR19" s="9" t="s">
        <v>2</v>
      </c>
      <c r="AS19" s="9" t="str">
        <f t="shared" si="2"/>
        <v>Tier 3</v>
      </c>
      <c r="AT19" s="27" t="str">
        <f t="shared" si="3"/>
        <v>Major workover, execute after Tier 1 and 2 validate economics</v>
      </c>
      <c r="AU19" s="28" t="s">
        <v>206</v>
      </c>
      <c r="AX19" s="3">
        <f t="shared" si="4"/>
        <v>13</v>
      </c>
      <c r="AY19" s="3">
        <f t="shared" si="5"/>
        <v>9</v>
      </c>
    </row>
    <row r="20" spans="1:51" ht="50.1" customHeight="1" thickBot="1">
      <c r="A20" s="20">
        <v>12</v>
      </c>
      <c r="B20" s="21" t="s">
        <v>207</v>
      </c>
      <c r="C20" s="20" t="s">
        <v>59</v>
      </c>
      <c r="D20" s="20">
        <v>701794.63</v>
      </c>
      <c r="E20" s="20">
        <v>146600.65</v>
      </c>
      <c r="F20" s="21" t="s">
        <v>195</v>
      </c>
      <c r="G20" s="21" t="s">
        <v>208</v>
      </c>
      <c r="H20" s="41" t="s">
        <v>197</v>
      </c>
      <c r="I20" s="23">
        <v>0</v>
      </c>
      <c r="J20" s="20">
        <v>391</v>
      </c>
      <c r="K20" s="23">
        <f t="shared" si="7"/>
        <v>391</v>
      </c>
      <c r="L20" s="20">
        <v>31.408485783705299</v>
      </c>
      <c r="M20" s="24">
        <v>29.033237300172701</v>
      </c>
      <c r="N20" s="20" t="s">
        <v>63</v>
      </c>
      <c r="O20" s="1" t="s">
        <v>64</v>
      </c>
      <c r="P20" s="70">
        <v>42185</v>
      </c>
      <c r="Q20" s="24">
        <f t="shared" si="0"/>
        <v>11</v>
      </c>
      <c r="R20" s="24">
        <v>0.93</v>
      </c>
      <c r="S20" s="24" t="s">
        <v>209</v>
      </c>
      <c r="T20" s="26">
        <v>99.9</v>
      </c>
      <c r="U20" s="122" t="s">
        <v>210</v>
      </c>
      <c r="V20" s="29" t="s">
        <v>211</v>
      </c>
      <c r="W20" s="22" t="s">
        <v>212</v>
      </c>
      <c r="X20" s="22" t="s">
        <v>213</v>
      </c>
      <c r="Y20" s="22" t="s">
        <v>214</v>
      </c>
      <c r="Z20" s="22" t="s">
        <v>215</v>
      </c>
      <c r="AA20" s="22" t="s">
        <v>216</v>
      </c>
      <c r="AB20" s="22" t="s">
        <v>217</v>
      </c>
      <c r="AC20" s="10">
        <v>2</v>
      </c>
      <c r="AD20" s="6">
        <f t="shared" si="6"/>
        <v>4</v>
      </c>
      <c r="AE20" s="10">
        <v>2</v>
      </c>
      <c r="AF20" s="10">
        <v>1</v>
      </c>
      <c r="AG20" s="10">
        <v>3</v>
      </c>
      <c r="AH20" s="10">
        <v>3</v>
      </c>
      <c r="AI20" s="10">
        <v>3</v>
      </c>
      <c r="AJ20" s="10">
        <v>3</v>
      </c>
      <c r="AK20" s="10">
        <v>2</v>
      </c>
      <c r="AL20" s="10">
        <v>3</v>
      </c>
      <c r="AM20" s="10">
        <v>3</v>
      </c>
      <c r="AN20" s="10">
        <v>3</v>
      </c>
      <c r="AO20" s="7">
        <f>IFERROR(IF(COUNT(AC20:AN20)=12,(AC20*'[1]Parameter Weights'!$F$7+AD20*'[1]Parameter Weights'!$F$9+AE20*'[1]Parameter Weights'!$F$10+AF20*'[1]Parameter Weights'!$F$11+AG20*'[1]Parameter Weights'!$F$12+AH20*'[1]Parameter Weights'!$F$13+AI20*'[1]Parameter Weights'!$F$14+AJ20*'[1]Parameter Weights'!$F$16+AK20*'[1]Parameter Weights'!$F$17+AL20*'[1]Parameter Weights'!$F$18+AM20*'[1]Parameter Weights'!$F$19+AN20*'[1]Parameter Weights'!$F$20)*20,IF(COUNT(AC20:AN20)=0,"","Incomplete")),"Check inputs")</f>
        <v>56.000000000000007</v>
      </c>
      <c r="AP20" s="8" t="s">
        <v>2</v>
      </c>
      <c r="AQ20" s="9" t="str">
        <f t="shared" si="1"/>
        <v>No</v>
      </c>
      <c r="AR20" s="9" t="s">
        <v>2</v>
      </c>
      <c r="AS20" s="9" t="str">
        <f t="shared" si="2"/>
        <v>Tier 2</v>
      </c>
      <c r="AT20" s="27" t="str">
        <f t="shared" si="3"/>
        <v>Engineering intervention, validate economics at base oil price</v>
      </c>
      <c r="AU20" s="28" t="s">
        <v>218</v>
      </c>
      <c r="AX20" s="3">
        <f t="shared" si="4"/>
        <v>13</v>
      </c>
      <c r="AY20" s="3">
        <f t="shared" si="5"/>
        <v>9</v>
      </c>
    </row>
    <row r="21" spans="1:51" ht="50.1" customHeight="1" thickBot="1">
      <c r="A21" s="20">
        <v>13</v>
      </c>
      <c r="B21" s="21" t="s">
        <v>219</v>
      </c>
      <c r="C21" s="20" t="s">
        <v>59</v>
      </c>
      <c r="D21" s="20">
        <v>701557.9</v>
      </c>
      <c r="E21" s="20">
        <v>146305.20000000001</v>
      </c>
      <c r="F21" s="21" t="s">
        <v>195</v>
      </c>
      <c r="G21" s="21" t="s">
        <v>220</v>
      </c>
      <c r="H21" s="41" t="s">
        <v>221</v>
      </c>
      <c r="I21" s="23">
        <v>151</v>
      </c>
      <c r="J21" s="20">
        <v>0</v>
      </c>
      <c r="K21" s="23">
        <f t="shared" si="7"/>
        <v>151</v>
      </c>
      <c r="L21" s="20">
        <v>0.50791327852715695</v>
      </c>
      <c r="M21" s="24">
        <v>0.46443433435410802</v>
      </c>
      <c r="N21" s="20" t="s">
        <v>63</v>
      </c>
      <c r="O21" s="1" t="s">
        <v>64</v>
      </c>
      <c r="P21" s="70">
        <v>42583</v>
      </c>
      <c r="Q21" s="24">
        <f t="shared" si="0"/>
        <v>10</v>
      </c>
      <c r="R21" s="24">
        <v>0.95</v>
      </c>
      <c r="S21" s="24" t="s">
        <v>222</v>
      </c>
      <c r="T21" s="26">
        <v>99.8</v>
      </c>
      <c r="U21" s="22" t="s">
        <v>223</v>
      </c>
      <c r="V21" s="22" t="s">
        <v>224</v>
      </c>
      <c r="W21" s="25" t="s">
        <v>225</v>
      </c>
      <c r="X21" s="22" t="s">
        <v>226</v>
      </c>
      <c r="Y21" s="22" t="s">
        <v>227</v>
      </c>
      <c r="Z21" s="22" t="s">
        <v>228</v>
      </c>
      <c r="AA21" s="22" t="s">
        <v>229</v>
      </c>
      <c r="AB21" s="22" t="s">
        <v>230</v>
      </c>
      <c r="AC21" s="10">
        <v>2</v>
      </c>
      <c r="AD21" s="6">
        <f t="shared" si="6"/>
        <v>3</v>
      </c>
      <c r="AE21" s="10">
        <v>2</v>
      </c>
      <c r="AF21" s="10">
        <v>2</v>
      </c>
      <c r="AG21" s="10">
        <v>3</v>
      </c>
      <c r="AH21" s="10">
        <v>3</v>
      </c>
      <c r="AI21" s="10">
        <v>3</v>
      </c>
      <c r="AJ21" s="10">
        <v>3</v>
      </c>
      <c r="AK21" s="10">
        <v>2</v>
      </c>
      <c r="AL21" s="10">
        <v>3</v>
      </c>
      <c r="AM21" s="10">
        <v>3</v>
      </c>
      <c r="AN21" s="10">
        <v>2</v>
      </c>
      <c r="AO21" s="7">
        <f>IFERROR(IF(COUNT(AC21:AN21)=12,(AC21*'[1]Parameter Weights'!$F$7+AD21*'[1]Parameter Weights'!$F$9+AE21*'[1]Parameter Weights'!$F$10+AF21*'[1]Parameter Weights'!$F$11+AG21*'[1]Parameter Weights'!$F$12+AH21*'[1]Parameter Weights'!$F$13+AI21*'[1]Parameter Weights'!$F$14+AJ21*'[1]Parameter Weights'!$F$16+AK21*'[1]Parameter Weights'!$F$17+AL21*'[1]Parameter Weights'!$F$18+AM21*'[1]Parameter Weights'!$F$19+AN21*'[1]Parameter Weights'!$F$20)*20,IF(COUNT(AC21:AN21)=0,"","Incomplete")),"Check inputs")</f>
        <v>53</v>
      </c>
      <c r="AP21" s="8" t="s">
        <v>2</v>
      </c>
      <c r="AQ21" s="9" t="str">
        <f t="shared" si="1"/>
        <v>No</v>
      </c>
      <c r="AR21" s="9" t="s">
        <v>2</v>
      </c>
      <c r="AS21" s="9" t="str">
        <f t="shared" si="2"/>
        <v>Tier 3</v>
      </c>
      <c r="AT21" s="27" t="str">
        <f t="shared" si="3"/>
        <v>Major workover, execute after Tier 1 and 2 validate economics</v>
      </c>
      <c r="AU21" s="28" t="s">
        <v>231</v>
      </c>
      <c r="AX21" s="3">
        <f t="shared" si="4"/>
        <v>11</v>
      </c>
      <c r="AY21" s="3">
        <f t="shared" si="5"/>
        <v>9</v>
      </c>
    </row>
    <row r="22" spans="1:51" ht="50.1" customHeight="1" thickBot="1">
      <c r="A22" s="21">
        <v>14</v>
      </c>
      <c r="B22" s="21" t="s">
        <v>232</v>
      </c>
      <c r="C22" s="20" t="s">
        <v>59</v>
      </c>
      <c r="D22" s="20">
        <v>726453.47</v>
      </c>
      <c r="E22" s="20">
        <v>168906.75</v>
      </c>
      <c r="F22" s="21" t="s">
        <v>233</v>
      </c>
      <c r="G22" s="21" t="s">
        <v>234</v>
      </c>
      <c r="H22" s="41" t="s">
        <v>235</v>
      </c>
      <c r="I22" s="23">
        <v>0</v>
      </c>
      <c r="J22" s="20">
        <v>673</v>
      </c>
      <c r="K22" s="23">
        <f t="shared" si="7"/>
        <v>673</v>
      </c>
      <c r="L22" s="20">
        <v>4.1565477361047503</v>
      </c>
      <c r="M22" s="24">
        <v>0.80228376405781898</v>
      </c>
      <c r="N22" s="20" t="s">
        <v>63</v>
      </c>
      <c r="O22" s="1" t="s">
        <v>130</v>
      </c>
      <c r="P22" s="70">
        <v>45108</v>
      </c>
      <c r="Q22" s="24">
        <f t="shared" si="0"/>
        <v>3</v>
      </c>
      <c r="R22" s="24">
        <v>33</v>
      </c>
      <c r="S22" s="24" t="s">
        <v>236</v>
      </c>
      <c r="T22" s="26">
        <v>95</v>
      </c>
      <c r="U22" s="22" t="s">
        <v>237</v>
      </c>
      <c r="V22" s="22" t="s">
        <v>238</v>
      </c>
      <c r="W22" s="22" t="s">
        <v>239</v>
      </c>
      <c r="X22" s="22" t="s">
        <v>240</v>
      </c>
      <c r="Y22" s="22" t="s">
        <v>241</v>
      </c>
      <c r="Z22" s="22" t="s">
        <v>242</v>
      </c>
      <c r="AA22" s="22" t="s">
        <v>243</v>
      </c>
      <c r="AB22" s="22" t="s">
        <v>244</v>
      </c>
      <c r="AC22" s="10">
        <v>3</v>
      </c>
      <c r="AD22" s="6">
        <f t="shared" si="6"/>
        <v>5</v>
      </c>
      <c r="AE22" s="10">
        <v>3</v>
      </c>
      <c r="AF22" s="10">
        <v>2</v>
      </c>
      <c r="AG22" s="10">
        <v>3</v>
      </c>
      <c r="AH22" s="10">
        <v>4</v>
      </c>
      <c r="AI22" s="10">
        <v>3</v>
      </c>
      <c r="AJ22" s="10">
        <v>3</v>
      </c>
      <c r="AK22" s="10">
        <v>2</v>
      </c>
      <c r="AL22" s="10">
        <v>4</v>
      </c>
      <c r="AM22" s="10">
        <v>3</v>
      </c>
      <c r="AN22" s="10">
        <v>3</v>
      </c>
      <c r="AO22" s="7">
        <f>IFERROR(IF(COUNT(AC22:AN22)=12,(AC22*'[1]Parameter Weights'!$F$7+AD22*'[1]Parameter Weights'!$F$9+AE22*'[1]Parameter Weights'!$F$10+AF22*'[1]Parameter Weights'!$F$11+AG22*'[1]Parameter Weights'!$F$12+AH22*'[1]Parameter Weights'!$F$13+AI22*'[1]Parameter Weights'!$F$14+AJ22*'[1]Parameter Weights'!$F$16+AK22*'[1]Parameter Weights'!$F$17+AL22*'[1]Parameter Weights'!$F$18+AM22*'[1]Parameter Weights'!$F$19+AN22*'[1]Parameter Weights'!$F$20)*20,IF(COUNT(AC22:AN22)=0,"","Incomplete")),"Check inputs")</f>
        <v>66.000000000000014</v>
      </c>
      <c r="AP22" s="8" t="s">
        <v>2</v>
      </c>
      <c r="AQ22" s="9" t="str">
        <f t="shared" si="1"/>
        <v>No</v>
      </c>
      <c r="AR22" s="9" t="s">
        <v>2</v>
      </c>
      <c r="AS22" s="9" t="str">
        <f t="shared" si="2"/>
        <v>Tier 2</v>
      </c>
      <c r="AT22" s="27" t="str">
        <f t="shared" si="3"/>
        <v>Engineering intervention, validate economics at base oil price</v>
      </c>
      <c r="AU22" s="28" t="s">
        <v>245</v>
      </c>
      <c r="AX22" s="3">
        <f t="shared" si="4"/>
        <v>16</v>
      </c>
      <c r="AY22" s="3">
        <f t="shared" si="5"/>
        <v>10</v>
      </c>
    </row>
    <row r="23" spans="1:51" ht="50.1" customHeight="1" thickBot="1">
      <c r="A23" s="20">
        <v>15</v>
      </c>
      <c r="B23" s="21" t="s">
        <v>246</v>
      </c>
      <c r="C23" s="20" t="s">
        <v>59</v>
      </c>
      <c r="D23" s="20">
        <v>726327.32</v>
      </c>
      <c r="E23" s="20">
        <v>168909.52</v>
      </c>
      <c r="F23" s="21" t="s">
        <v>247</v>
      </c>
      <c r="G23" s="21" t="s">
        <v>248</v>
      </c>
      <c r="H23" s="41" t="s">
        <v>249</v>
      </c>
      <c r="I23" s="23">
        <v>395</v>
      </c>
      <c r="J23" s="20">
        <v>368</v>
      </c>
      <c r="K23" s="23">
        <f t="shared" si="7"/>
        <v>763</v>
      </c>
      <c r="L23" s="20">
        <v>2.91463138883022</v>
      </c>
      <c r="M23" s="24">
        <v>2.3663274793594899</v>
      </c>
      <c r="N23" s="20" t="s">
        <v>63</v>
      </c>
      <c r="O23" s="1" t="s">
        <v>130</v>
      </c>
      <c r="P23" s="70">
        <v>42826</v>
      </c>
      <c r="Q23" s="24">
        <f t="shared" si="0"/>
        <v>9</v>
      </c>
      <c r="R23" s="24">
        <v>59</v>
      </c>
      <c r="S23" s="24" t="s">
        <v>250</v>
      </c>
      <c r="T23" s="26">
        <v>99.5</v>
      </c>
      <c r="U23" s="22" t="s">
        <v>251</v>
      </c>
      <c r="V23" s="22" t="s">
        <v>252</v>
      </c>
      <c r="W23" s="22" t="s">
        <v>253</v>
      </c>
      <c r="X23" s="22" t="s">
        <v>254</v>
      </c>
      <c r="Y23" s="22" t="s">
        <v>255</v>
      </c>
      <c r="Z23" s="22" t="s">
        <v>256</v>
      </c>
      <c r="AA23" s="22" t="s">
        <v>257</v>
      </c>
      <c r="AB23" s="22" t="s">
        <v>258</v>
      </c>
      <c r="AC23" s="10">
        <v>3</v>
      </c>
      <c r="AD23" s="6">
        <f t="shared" si="6"/>
        <v>5</v>
      </c>
      <c r="AE23" s="10">
        <v>3</v>
      </c>
      <c r="AF23" s="10">
        <v>3</v>
      </c>
      <c r="AG23" s="10">
        <v>3</v>
      </c>
      <c r="AH23" s="10">
        <v>3</v>
      </c>
      <c r="AI23" s="10">
        <v>3</v>
      </c>
      <c r="AJ23" s="10">
        <v>3</v>
      </c>
      <c r="AK23" s="10">
        <v>2</v>
      </c>
      <c r="AL23" s="10">
        <v>3</v>
      </c>
      <c r="AM23" s="10">
        <v>2</v>
      </c>
      <c r="AN23" s="10">
        <v>3</v>
      </c>
      <c r="AO23" s="7">
        <f>IFERROR(IF(COUNT(AC23:AN23)=12,(AC23*'[1]Parameter Weights'!$F$7+AD23*'[1]Parameter Weights'!$F$9+AE23*'[1]Parameter Weights'!$F$10+AF23*'[1]Parameter Weights'!$F$11+AG23*'[1]Parameter Weights'!$F$12+AH23*'[1]Parameter Weights'!$F$13+AI23*'[1]Parameter Weights'!$F$14+AJ23*'[1]Parameter Weights'!$F$16+AK23*'[1]Parameter Weights'!$F$17+AL23*'[1]Parameter Weights'!$F$18+AM23*'[1]Parameter Weights'!$F$19+AN23*'[1]Parameter Weights'!$F$20)*20,IF(COUNT(AC23:AN23)=0,"","Incomplete")),"Check inputs")</f>
        <v>63</v>
      </c>
      <c r="AP23" s="8" t="s">
        <v>2</v>
      </c>
      <c r="AQ23" s="9" t="str">
        <f t="shared" si="1"/>
        <v>No</v>
      </c>
      <c r="AR23" s="9" t="s">
        <v>2</v>
      </c>
      <c r="AS23" s="9" t="str">
        <f t="shared" si="2"/>
        <v>Tier 2</v>
      </c>
      <c r="AT23" s="27" t="str">
        <f t="shared" si="3"/>
        <v>Engineering intervention, validate economics at base oil price</v>
      </c>
      <c r="AU23" s="28" t="s">
        <v>259</v>
      </c>
      <c r="AX23" s="3">
        <f t="shared" si="4"/>
        <v>16</v>
      </c>
      <c r="AY23" s="3">
        <f t="shared" si="5"/>
        <v>9</v>
      </c>
    </row>
    <row r="24" spans="1:51" ht="50.1" customHeight="1" thickBot="1">
      <c r="A24" s="21">
        <v>16</v>
      </c>
      <c r="B24" s="21" t="s">
        <v>260</v>
      </c>
      <c r="C24" s="20" t="s">
        <v>59</v>
      </c>
      <c r="D24" s="20">
        <v>726419.52</v>
      </c>
      <c r="E24" s="20">
        <v>169279.39</v>
      </c>
      <c r="F24" s="123" t="s">
        <v>233</v>
      </c>
      <c r="G24" s="123" t="s">
        <v>103</v>
      </c>
      <c r="H24" s="124" t="s">
        <v>261</v>
      </c>
      <c r="I24" s="23">
        <v>0</v>
      </c>
      <c r="J24" s="20">
        <v>274</v>
      </c>
      <c r="K24" s="23">
        <f t="shared" si="7"/>
        <v>274</v>
      </c>
      <c r="L24" s="20">
        <v>2.2014213769583701</v>
      </c>
      <c r="M24" s="24">
        <v>0.635884307313206</v>
      </c>
      <c r="N24" s="20" t="s">
        <v>63</v>
      </c>
      <c r="O24" s="1" t="s">
        <v>130</v>
      </c>
      <c r="P24" s="70">
        <v>41666</v>
      </c>
      <c r="Q24" s="24">
        <f t="shared" si="0"/>
        <v>12</v>
      </c>
      <c r="R24" s="24">
        <v>43</v>
      </c>
      <c r="S24" s="24" t="s">
        <v>262</v>
      </c>
      <c r="T24" s="125">
        <v>97.7</v>
      </c>
      <c r="U24" s="22"/>
      <c r="V24" s="126" t="s">
        <v>263</v>
      </c>
      <c r="W24" s="126" t="s">
        <v>264</v>
      </c>
      <c r="X24" s="126" t="s">
        <v>265</v>
      </c>
      <c r="Y24" s="126" t="s">
        <v>266</v>
      </c>
      <c r="Z24" s="126" t="s">
        <v>267</v>
      </c>
      <c r="AA24" s="126" t="s">
        <v>268</v>
      </c>
      <c r="AB24" s="126" t="s">
        <v>269</v>
      </c>
      <c r="AC24" s="10">
        <v>2</v>
      </c>
      <c r="AD24" s="6">
        <f t="shared" si="6"/>
        <v>3</v>
      </c>
      <c r="AE24" s="10">
        <v>3</v>
      </c>
      <c r="AF24" s="10">
        <v>1</v>
      </c>
      <c r="AG24" s="10">
        <v>3</v>
      </c>
      <c r="AH24" s="10">
        <v>5</v>
      </c>
      <c r="AI24" s="10">
        <v>3</v>
      </c>
      <c r="AJ24" s="10">
        <v>3</v>
      </c>
      <c r="AK24" s="10">
        <v>2</v>
      </c>
      <c r="AL24" s="10">
        <v>2</v>
      </c>
      <c r="AM24" s="10">
        <v>3</v>
      </c>
      <c r="AN24" s="10">
        <v>2</v>
      </c>
      <c r="AO24" s="7">
        <f>IFERROR(IF(COUNT(AC24:AN24)=12,(AC24*'[1]Parameter Weights'!$F$7+AD24*'[1]Parameter Weights'!$F$9+AE24*'[1]Parameter Weights'!$F$10+AF24*'[1]Parameter Weights'!$F$11+AG24*'[1]Parameter Weights'!$F$12+AH24*'[1]Parameter Weights'!$F$13+AI24*'[1]Parameter Weights'!$F$14+AJ24*'[1]Parameter Weights'!$F$16+AK24*'[1]Parameter Weights'!$F$17+AL24*'[1]Parameter Weights'!$F$18+AM24*'[1]Parameter Weights'!$F$19+AN24*'[1]Parameter Weights'!$F$20)*20,IF(COUNT(AC24:AN24)=0,"","Incomplete")),"Check inputs")</f>
        <v>56.000000000000007</v>
      </c>
      <c r="AP24" s="8" t="s">
        <v>2</v>
      </c>
      <c r="AQ24" s="9" t="str">
        <f t="shared" si="1"/>
        <v>No</v>
      </c>
      <c r="AR24" s="9" t="s">
        <v>2</v>
      </c>
      <c r="AS24" s="9" t="str">
        <f t="shared" si="2"/>
        <v>Tier 2</v>
      </c>
      <c r="AT24" s="127" t="str">
        <f t="shared" si="3"/>
        <v>Engineering intervention, validate economics at base oil price</v>
      </c>
      <c r="AU24" s="28" t="s">
        <v>270</v>
      </c>
      <c r="AX24" s="3">
        <f t="shared" si="4"/>
        <v>12</v>
      </c>
      <c r="AY24" s="3">
        <f t="shared" si="5"/>
        <v>11</v>
      </c>
    </row>
    <row r="25" spans="1:51" ht="50.1" customHeight="1" thickBot="1">
      <c r="A25" s="20">
        <v>17</v>
      </c>
      <c r="B25" s="21" t="s">
        <v>271</v>
      </c>
      <c r="C25" s="20" t="s">
        <v>59</v>
      </c>
      <c r="D25" s="20">
        <v>726433.93</v>
      </c>
      <c r="E25" s="20">
        <v>169294.27</v>
      </c>
      <c r="F25" s="21" t="s">
        <v>233</v>
      </c>
      <c r="G25" s="21" t="s">
        <v>103</v>
      </c>
      <c r="H25" s="41" t="s">
        <v>261</v>
      </c>
      <c r="I25" s="23">
        <v>0</v>
      </c>
      <c r="J25" s="20">
        <v>166</v>
      </c>
      <c r="K25" s="23">
        <f t="shared" si="7"/>
        <v>166</v>
      </c>
      <c r="L25" s="20">
        <v>0.477177836530912</v>
      </c>
      <c r="M25" s="24">
        <v>0.105306668815925</v>
      </c>
      <c r="N25" s="20" t="s">
        <v>63</v>
      </c>
      <c r="O25" s="1" t="s">
        <v>130</v>
      </c>
      <c r="P25" s="70">
        <v>42522</v>
      </c>
      <c r="Q25" s="24">
        <f t="shared" si="0"/>
        <v>10</v>
      </c>
      <c r="R25" s="24">
        <v>0.5</v>
      </c>
      <c r="S25" s="24" t="s">
        <v>272</v>
      </c>
      <c r="T25" s="26">
        <v>99</v>
      </c>
      <c r="U25" s="22" t="s">
        <v>273</v>
      </c>
      <c r="V25" s="22" t="s">
        <v>274</v>
      </c>
      <c r="W25" s="22" t="s">
        <v>275</v>
      </c>
      <c r="X25" s="22" t="s">
        <v>276</v>
      </c>
      <c r="Y25" s="22" t="s">
        <v>277</v>
      </c>
      <c r="Z25" s="22" t="s">
        <v>278</v>
      </c>
      <c r="AA25" s="22" t="s">
        <v>279</v>
      </c>
      <c r="AB25" s="22" t="s">
        <v>280</v>
      </c>
      <c r="AC25" s="10">
        <v>1</v>
      </c>
      <c r="AD25" s="6">
        <f t="shared" si="6"/>
        <v>3</v>
      </c>
      <c r="AE25" s="10">
        <v>2</v>
      </c>
      <c r="AF25" s="10">
        <v>1</v>
      </c>
      <c r="AG25" s="10">
        <v>3</v>
      </c>
      <c r="AH25" s="10">
        <v>4</v>
      </c>
      <c r="AI25" s="10">
        <v>3</v>
      </c>
      <c r="AJ25" s="10">
        <v>3</v>
      </c>
      <c r="AK25" s="10">
        <v>2</v>
      </c>
      <c r="AL25" s="10">
        <v>3</v>
      </c>
      <c r="AM25" s="10">
        <v>2</v>
      </c>
      <c r="AN25" s="10">
        <v>3</v>
      </c>
      <c r="AO25" s="7">
        <f>IFERROR(IF(COUNT(AC25:AN25)=12,(AC25*'[1]Parameter Weights'!$F$7+AD25*'[1]Parameter Weights'!$F$9+AE25*'[1]Parameter Weights'!$F$10+AF25*'[1]Parameter Weights'!$F$11+AG25*'[1]Parameter Weights'!$F$12+AH25*'[1]Parameter Weights'!$F$13+AI25*'[1]Parameter Weights'!$F$14+AJ25*'[1]Parameter Weights'!$F$16+AK25*'[1]Parameter Weights'!$F$17+AL25*'[1]Parameter Weights'!$F$18+AM25*'[1]Parameter Weights'!$F$19+AN25*'[1]Parameter Weights'!$F$20)*20,IF(COUNT(AC25:AN25)=0,"","Incomplete")),"Check inputs")</f>
        <v>51.999999999999993</v>
      </c>
      <c r="AP25" s="8" t="s">
        <v>2</v>
      </c>
      <c r="AQ25" s="9" t="str">
        <f t="shared" si="1"/>
        <v>No</v>
      </c>
      <c r="AR25" s="9" t="s">
        <v>2</v>
      </c>
      <c r="AS25" s="9" t="str">
        <f t="shared" si="2"/>
        <v>Tier 3</v>
      </c>
      <c r="AT25" s="27" t="str">
        <f t="shared" si="3"/>
        <v>Major workover, execute after Tier 1 and 2 validate economics</v>
      </c>
      <c r="AU25" s="28" t="s">
        <v>281</v>
      </c>
      <c r="AX25" s="3">
        <f t="shared" si="4"/>
        <v>11</v>
      </c>
      <c r="AY25" s="3">
        <f t="shared" si="5"/>
        <v>10</v>
      </c>
    </row>
    <row r="26" spans="1:51" ht="53.25" customHeight="1" thickBot="1">
      <c r="A26" s="21">
        <v>18</v>
      </c>
      <c r="B26" s="21" t="s">
        <v>282</v>
      </c>
      <c r="C26" s="20" t="s">
        <v>59</v>
      </c>
      <c r="D26" s="20">
        <v>713099.65</v>
      </c>
      <c r="E26" s="20">
        <v>176197.9</v>
      </c>
      <c r="F26" s="21" t="s">
        <v>283</v>
      </c>
      <c r="G26" s="21" t="s">
        <v>284</v>
      </c>
      <c r="H26" s="41" t="s">
        <v>285</v>
      </c>
      <c r="I26" s="23">
        <v>548</v>
      </c>
      <c r="J26" s="20">
        <v>146</v>
      </c>
      <c r="K26" s="23">
        <f t="shared" si="7"/>
        <v>694</v>
      </c>
      <c r="L26" s="20">
        <v>1.53985209509596</v>
      </c>
      <c r="M26" s="24">
        <v>1.53985209509596</v>
      </c>
      <c r="N26" s="20" t="s">
        <v>63</v>
      </c>
      <c r="O26" s="1" t="s">
        <v>64</v>
      </c>
      <c r="P26" s="70">
        <v>34820</v>
      </c>
      <c r="Q26" s="24">
        <f t="shared" si="0"/>
        <v>31</v>
      </c>
      <c r="R26" s="24">
        <v>13</v>
      </c>
      <c r="S26" s="24" t="s">
        <v>286</v>
      </c>
      <c r="T26" s="26">
        <v>90</v>
      </c>
      <c r="U26" s="22" t="s">
        <v>287</v>
      </c>
      <c r="V26" s="22" t="s">
        <v>288</v>
      </c>
      <c r="W26" s="22" t="s">
        <v>289</v>
      </c>
      <c r="X26" s="22" t="s">
        <v>290</v>
      </c>
      <c r="Y26" s="22" t="s">
        <v>291</v>
      </c>
      <c r="Z26" s="22" t="s">
        <v>292</v>
      </c>
      <c r="AA26" s="22" t="s">
        <v>293</v>
      </c>
      <c r="AB26" s="22" t="s">
        <v>294</v>
      </c>
      <c r="AC26" s="10">
        <v>1</v>
      </c>
      <c r="AD26" s="6">
        <f t="shared" si="6"/>
        <v>5</v>
      </c>
      <c r="AE26" s="10">
        <v>3</v>
      </c>
      <c r="AF26" s="10">
        <v>2</v>
      </c>
      <c r="AG26" s="10">
        <v>3</v>
      </c>
      <c r="AH26" s="10">
        <v>2</v>
      </c>
      <c r="AI26" s="10">
        <v>3</v>
      </c>
      <c r="AJ26" s="10">
        <v>2</v>
      </c>
      <c r="AK26" s="10">
        <v>2</v>
      </c>
      <c r="AL26" s="10">
        <v>2</v>
      </c>
      <c r="AM26" s="10">
        <v>2</v>
      </c>
      <c r="AN26" s="10">
        <v>3</v>
      </c>
      <c r="AO26" s="7">
        <f>IFERROR(IF(COUNT(AC26:AN26)=12,(AC26*'[1]Parameter Weights'!$F$7+AD26*'[1]Parameter Weights'!$F$9+AE26*'[1]Parameter Weights'!$F$10+AF26*'[1]Parameter Weights'!$F$11+AG26*'[1]Parameter Weights'!$F$12+AH26*'[1]Parameter Weights'!$F$13+AI26*'[1]Parameter Weights'!$F$14+AJ26*'[1]Parameter Weights'!$F$16+AK26*'[1]Parameter Weights'!$F$17+AL26*'[1]Parameter Weights'!$F$18+AM26*'[1]Parameter Weights'!$F$19+AN26*'[1]Parameter Weights'!$F$20)*20,IF(COUNT(AC26:AN26)=0,"","Incomplete")),"Check inputs")</f>
        <v>53.000000000000007</v>
      </c>
      <c r="AP26" s="8" t="s">
        <v>2</v>
      </c>
      <c r="AQ26" s="9" t="str">
        <f t="shared" si="1"/>
        <v>No</v>
      </c>
      <c r="AR26" s="9" t="s">
        <v>2</v>
      </c>
      <c r="AS26" s="9" t="str">
        <f t="shared" si="2"/>
        <v>Tier 3</v>
      </c>
      <c r="AT26" s="27" t="str">
        <f t="shared" si="3"/>
        <v>Major workover, execute after Tier 1 and 2 validate economics</v>
      </c>
      <c r="AU26" s="28" t="s">
        <v>295</v>
      </c>
      <c r="AX26" s="3">
        <f t="shared" si="4"/>
        <v>14</v>
      </c>
      <c r="AY26" s="3">
        <f t="shared" si="5"/>
        <v>7</v>
      </c>
    </row>
    <row r="27" spans="1:51" ht="50.1" customHeight="1" thickBot="1">
      <c r="A27" s="20">
        <v>19</v>
      </c>
      <c r="B27" s="123" t="s">
        <v>296</v>
      </c>
      <c r="C27" s="20" t="s">
        <v>59</v>
      </c>
      <c r="D27" s="20">
        <v>713765.45</v>
      </c>
      <c r="E27" s="20">
        <v>175868.07</v>
      </c>
      <c r="F27" s="21" t="s">
        <v>283</v>
      </c>
      <c r="G27" s="21" t="s">
        <v>297</v>
      </c>
      <c r="H27" s="41" t="s">
        <v>298</v>
      </c>
      <c r="I27" s="23">
        <v>44</v>
      </c>
      <c r="J27" s="20">
        <v>427</v>
      </c>
      <c r="K27" s="23">
        <f t="shared" si="7"/>
        <v>471</v>
      </c>
      <c r="L27" s="20">
        <v>0.216221839773025</v>
      </c>
      <c r="M27" s="24">
        <v>0.216221839773025</v>
      </c>
      <c r="N27" s="20" t="s">
        <v>63</v>
      </c>
      <c r="O27" s="1" t="s">
        <v>64</v>
      </c>
      <c r="P27" s="70">
        <v>40587</v>
      </c>
      <c r="Q27" s="24">
        <f t="shared" si="0"/>
        <v>15</v>
      </c>
      <c r="R27" s="24">
        <v>7.29</v>
      </c>
      <c r="S27" s="24" t="e">
        <f>VLOOKUP(J27,[2]Assessment!$A$4:$BO$101,19,FALSE)</f>
        <v>#N/A</v>
      </c>
      <c r="T27" s="26">
        <v>99.68</v>
      </c>
      <c r="U27" s="22" t="s">
        <v>299</v>
      </c>
      <c r="V27" s="22" t="s">
        <v>300</v>
      </c>
      <c r="W27" s="22" t="s">
        <v>301</v>
      </c>
      <c r="X27" s="22" t="s">
        <v>302</v>
      </c>
      <c r="Y27" s="22" t="s">
        <v>303</v>
      </c>
      <c r="Z27" s="22" t="s">
        <v>304</v>
      </c>
      <c r="AA27" s="22" t="s">
        <v>305</v>
      </c>
      <c r="AB27" s="22" t="s">
        <v>306</v>
      </c>
      <c r="AC27" s="11">
        <v>2</v>
      </c>
      <c r="AD27" s="6">
        <f t="shared" si="6"/>
        <v>4</v>
      </c>
      <c r="AE27" s="11">
        <v>3</v>
      </c>
      <c r="AF27" s="11">
        <v>1</v>
      </c>
      <c r="AG27" s="11">
        <v>3</v>
      </c>
      <c r="AH27" s="11">
        <v>3</v>
      </c>
      <c r="AI27" s="11">
        <v>3</v>
      </c>
      <c r="AJ27" s="11">
        <v>2</v>
      </c>
      <c r="AK27" s="11">
        <v>2</v>
      </c>
      <c r="AL27" s="11">
        <v>1</v>
      </c>
      <c r="AM27" s="11">
        <v>2</v>
      </c>
      <c r="AN27" s="11">
        <v>2</v>
      </c>
      <c r="AO27" s="7">
        <f>IFERROR(IF(COUNT(AC27:AN27)=12,(AC27*'[1]Parameter Weights'!$F$7+AD27*'[1]Parameter Weights'!$F$9+AE27*'[1]Parameter Weights'!$F$10+AF27*'[1]Parameter Weights'!$F$11+AG27*'[1]Parameter Weights'!$F$12+AH27*'[1]Parameter Weights'!$F$13+AI27*'[1]Parameter Weights'!$F$14+AJ27*'[1]Parameter Weights'!$F$16+AK27*'[1]Parameter Weights'!$F$17+AL27*'[1]Parameter Weights'!$F$18+AM27*'[1]Parameter Weights'!$F$19+AN27*'[1]Parameter Weights'!$F$20)*20,IF(COUNT(AC27:AN27)=0,"","Incomplete")),"Check inputs")</f>
        <v>51.000000000000007</v>
      </c>
      <c r="AP27" s="8" t="s">
        <v>2</v>
      </c>
      <c r="AQ27" s="9" t="str">
        <f t="shared" si="1"/>
        <v>No</v>
      </c>
      <c r="AR27" s="9" t="s">
        <v>2</v>
      </c>
      <c r="AS27" s="9" t="str">
        <f t="shared" si="2"/>
        <v>Tier 3</v>
      </c>
      <c r="AT27" s="27" t="str">
        <f t="shared" si="3"/>
        <v>Major workover, execute after Tier 1 and 2 validate economics</v>
      </c>
      <c r="AU27" s="28" t="s">
        <v>307</v>
      </c>
      <c r="AX27" s="3">
        <f t="shared" si="4"/>
        <v>13</v>
      </c>
      <c r="AY27" s="3">
        <f t="shared" si="5"/>
        <v>8</v>
      </c>
    </row>
    <row r="28" spans="1:51" s="18" customFormat="1" ht="50.1" customHeight="1" thickBot="1">
      <c r="A28" s="21">
        <v>20</v>
      </c>
      <c r="B28" s="123" t="s">
        <v>308</v>
      </c>
      <c r="C28" s="20" t="s">
        <v>59</v>
      </c>
      <c r="D28" s="20">
        <v>720107.68</v>
      </c>
      <c r="E28" s="20">
        <v>151704.13</v>
      </c>
      <c r="F28" s="21" t="s">
        <v>309</v>
      </c>
      <c r="G28" s="21" t="s">
        <v>310</v>
      </c>
      <c r="H28" s="128" t="s">
        <v>310</v>
      </c>
      <c r="I28" s="23">
        <v>0</v>
      </c>
      <c r="J28" s="20">
        <v>0</v>
      </c>
      <c r="K28" s="20">
        <v>0</v>
      </c>
      <c r="L28" s="20">
        <v>1.09172862834002</v>
      </c>
      <c r="M28" s="24">
        <v>0.24095818482763401</v>
      </c>
      <c r="N28" s="20" t="s">
        <v>63</v>
      </c>
      <c r="O28" s="1" t="s">
        <v>130</v>
      </c>
      <c r="P28" s="70">
        <v>28937</v>
      </c>
      <c r="Q28" s="24">
        <f t="shared" si="0"/>
        <v>47</v>
      </c>
      <c r="R28" s="24" t="e">
        <f>VLOOKUP(I28,[2]Assessment!$A$4:$BO$101,19,FALSE)</f>
        <v>#N/A</v>
      </c>
      <c r="S28" s="24" t="e">
        <f>VLOOKUP(J28,[2]Assessment!$A$4:$BO$101,19,FALSE)</f>
        <v>#N/A</v>
      </c>
      <c r="T28" s="20" t="e">
        <f>VLOOKUP(N28,[2]Assessment!$A$4:$BO$101,19,FALSE)</f>
        <v>#N/A</v>
      </c>
      <c r="U28" s="20" t="e">
        <f>VLOOKUP(P28,[2]Assessment!$A$4:$BO$101,19,FALSE)</f>
        <v>#N/A</v>
      </c>
      <c r="V28" s="21" t="s">
        <v>311</v>
      </c>
      <c r="W28" s="21" t="s">
        <v>312</v>
      </c>
      <c r="X28" s="21" t="s">
        <v>313</v>
      </c>
      <c r="Y28" s="21" t="s">
        <v>314</v>
      </c>
      <c r="Z28" s="21" t="s">
        <v>315</v>
      </c>
      <c r="AA28" s="21" t="s">
        <v>316</v>
      </c>
      <c r="AB28" s="21" t="s">
        <v>317</v>
      </c>
      <c r="AC28" s="129">
        <v>2</v>
      </c>
      <c r="AD28" s="6">
        <f t="shared" si="6"/>
        <v>1</v>
      </c>
      <c r="AE28" s="10">
        <v>2</v>
      </c>
      <c r="AF28" s="10">
        <v>2</v>
      </c>
      <c r="AG28" s="10">
        <v>1</v>
      </c>
      <c r="AH28" s="10">
        <v>2</v>
      </c>
      <c r="AI28" s="10">
        <v>3</v>
      </c>
      <c r="AJ28" s="10">
        <v>1</v>
      </c>
      <c r="AK28" s="10">
        <v>1</v>
      </c>
      <c r="AL28" s="10">
        <v>1</v>
      </c>
      <c r="AM28" s="10">
        <v>2</v>
      </c>
      <c r="AN28" s="10">
        <v>2</v>
      </c>
      <c r="AO28" s="7">
        <f>IFERROR(IF(COUNT(AC28:AN28)=12,(AC28*'[1]Parameter Weights'!$F$7+AD28*'[1]Parameter Weights'!$F$9+AE28*'[1]Parameter Weights'!$F$10+AF28*'[1]Parameter Weights'!$F$11+AG28*'[1]Parameter Weights'!$F$12+AH28*'[1]Parameter Weights'!$F$13+AI28*'[1]Parameter Weights'!$F$14+AJ28*'[1]Parameter Weights'!$F$16+AK28*'[1]Parameter Weights'!$F$17+AL28*'[1]Parameter Weights'!$F$18+AM28*'[1]Parameter Weights'!$F$19+AN28*'[1]Parameter Weights'!$F$20)*20,IF(COUNT(AC28:AN28)=0,"","Incomplete")),"Check inputs")</f>
        <v>30.000000000000004</v>
      </c>
      <c r="AP28" s="8" t="s">
        <v>2</v>
      </c>
      <c r="AQ28" s="9" t="str">
        <f t="shared" si="1"/>
        <v>YES</v>
      </c>
      <c r="AR28" s="9" t="s">
        <v>2</v>
      </c>
      <c r="AS28" s="9" t="str">
        <f t="shared" si="2"/>
        <v>Excluded</v>
      </c>
      <c r="AT28" s="9" t="str">
        <f t="shared" si="3"/>
        <v>Resolve knockout before screening (HSE / Integrity / Facility)</v>
      </c>
      <c r="AU28" s="130" t="s">
        <v>318</v>
      </c>
      <c r="AX28" s="119">
        <f t="shared" si="4"/>
        <v>8</v>
      </c>
      <c r="AY28" s="119">
        <f t="shared" si="5"/>
        <v>4</v>
      </c>
    </row>
    <row r="29" spans="1:51" ht="50.1" customHeight="1" thickBot="1">
      <c r="A29" s="21">
        <v>21</v>
      </c>
      <c r="B29" s="21" t="s">
        <v>319</v>
      </c>
      <c r="C29" s="20" t="s">
        <v>59</v>
      </c>
      <c r="D29" s="20">
        <v>719619</v>
      </c>
      <c r="E29" s="20">
        <v>151798</v>
      </c>
      <c r="F29" s="21" t="s">
        <v>309</v>
      </c>
      <c r="G29" s="21" t="s">
        <v>320</v>
      </c>
      <c r="H29" s="41" t="s">
        <v>321</v>
      </c>
      <c r="I29" s="23">
        <v>0</v>
      </c>
      <c r="J29" s="20">
        <v>384</v>
      </c>
      <c r="K29" s="23">
        <f t="shared" si="7"/>
        <v>384</v>
      </c>
      <c r="L29" s="20">
        <v>3.0149406076385299</v>
      </c>
      <c r="M29" s="24">
        <v>0.55102096770099696</v>
      </c>
      <c r="N29" s="20" t="s">
        <v>63</v>
      </c>
      <c r="O29" s="1" t="s">
        <v>130</v>
      </c>
      <c r="P29" s="70">
        <v>43132</v>
      </c>
      <c r="Q29" s="24">
        <f t="shared" si="0"/>
        <v>8</v>
      </c>
      <c r="R29" s="24">
        <v>10.5</v>
      </c>
      <c r="S29" s="24" t="e">
        <f>VLOOKUP(J29,[2]Assessment!$A$4:$BO$101,19,FALSE)</f>
        <v>#N/A</v>
      </c>
      <c r="T29" s="26">
        <v>99.6</v>
      </c>
      <c r="U29" s="20" t="e">
        <f>VLOOKUP(P29,[2]Assessment!$A$4:$BO$101,19,FALSE)</f>
        <v>#N/A</v>
      </c>
      <c r="V29" s="22" t="s">
        <v>322</v>
      </c>
      <c r="W29" s="22" t="s">
        <v>323</v>
      </c>
      <c r="X29" s="22" t="s">
        <v>324</v>
      </c>
      <c r="Y29" s="22" t="s">
        <v>325</v>
      </c>
      <c r="Z29" s="22" t="s">
        <v>326</v>
      </c>
      <c r="AA29" s="22" t="s">
        <v>327</v>
      </c>
      <c r="AB29" s="22" t="s">
        <v>328</v>
      </c>
      <c r="AC29" s="10">
        <v>2</v>
      </c>
      <c r="AD29" s="6">
        <f t="shared" si="6"/>
        <v>4</v>
      </c>
      <c r="AE29" s="10">
        <v>3</v>
      </c>
      <c r="AF29" s="10">
        <v>1</v>
      </c>
      <c r="AG29" s="10">
        <v>3</v>
      </c>
      <c r="AH29" s="10">
        <v>3</v>
      </c>
      <c r="AI29" s="10">
        <v>3</v>
      </c>
      <c r="AJ29" s="10">
        <v>3</v>
      </c>
      <c r="AK29" s="10">
        <v>3</v>
      </c>
      <c r="AL29" s="10">
        <v>2</v>
      </c>
      <c r="AM29" s="10">
        <v>3</v>
      </c>
      <c r="AN29" s="10">
        <v>3</v>
      </c>
      <c r="AO29" s="7">
        <f>IFERROR(IF(COUNT(AC29:AN29)=12,(AC29*'[1]Parameter Weights'!$F$7+AD29*'[1]Parameter Weights'!$F$9+AE29*'[1]Parameter Weights'!$F$10+AF29*'[1]Parameter Weights'!$F$11+AG29*'[1]Parameter Weights'!$F$12+AH29*'[1]Parameter Weights'!$F$13+AI29*'[1]Parameter Weights'!$F$14+AJ29*'[1]Parameter Weights'!$F$16+AK29*'[1]Parameter Weights'!$F$17+AL29*'[1]Parameter Weights'!$F$18+AM29*'[1]Parameter Weights'!$F$19+AN29*'[1]Parameter Weights'!$F$20)*20,IF(COUNT(AC29:AN29)=0,"","Incomplete")),"Check inputs")</f>
        <v>58</v>
      </c>
      <c r="AP29" s="8" t="s">
        <v>2</v>
      </c>
      <c r="AQ29" s="9" t="str">
        <f t="shared" si="1"/>
        <v>No</v>
      </c>
      <c r="AR29" s="9" t="s">
        <v>2</v>
      </c>
      <c r="AS29" s="9" t="str">
        <f t="shared" si="2"/>
        <v>Tier 2</v>
      </c>
      <c r="AT29" s="27" t="str">
        <f t="shared" si="3"/>
        <v>Engineering intervention, validate economics at base oil price</v>
      </c>
      <c r="AU29" s="28" t="s">
        <v>329</v>
      </c>
      <c r="AX29" s="3">
        <f t="shared" si="4"/>
        <v>15</v>
      </c>
      <c r="AY29" s="3">
        <f t="shared" si="5"/>
        <v>9</v>
      </c>
    </row>
    <row r="30" spans="1:51" s="131" customFormat="1" ht="50.1" customHeight="1" thickBot="1">
      <c r="A30" s="21">
        <v>22</v>
      </c>
      <c r="B30" s="123" t="s">
        <v>330</v>
      </c>
      <c r="C30" s="20" t="s">
        <v>59</v>
      </c>
      <c r="D30" s="20">
        <v>719613.49</v>
      </c>
      <c r="E30" s="20">
        <v>151716.79</v>
      </c>
      <c r="F30" s="21" t="s">
        <v>309</v>
      </c>
      <c r="G30" s="21" t="s">
        <v>331</v>
      </c>
      <c r="H30" s="41" t="s">
        <v>332</v>
      </c>
      <c r="I30" s="23">
        <v>76</v>
      </c>
      <c r="J30" s="20">
        <v>31</v>
      </c>
      <c r="K30" s="23">
        <f t="shared" si="7"/>
        <v>107</v>
      </c>
      <c r="L30" s="20">
        <v>1.21608393705811</v>
      </c>
      <c r="M30" s="24">
        <v>2.2202886776119999E-3</v>
      </c>
      <c r="N30" s="20" t="s">
        <v>63</v>
      </c>
      <c r="O30" s="1" t="s">
        <v>130</v>
      </c>
      <c r="P30" s="70">
        <v>42156</v>
      </c>
      <c r="Q30" s="24">
        <f t="shared" si="0"/>
        <v>11</v>
      </c>
      <c r="R30" s="24" t="e">
        <v>#N/A</v>
      </c>
      <c r="S30" s="24"/>
      <c r="T30" s="20" t="e">
        <v>#N/A</v>
      </c>
      <c r="U30" s="22" t="s">
        <v>333</v>
      </c>
      <c r="V30" s="22" t="s">
        <v>334</v>
      </c>
      <c r="W30" s="22" t="s">
        <v>335</v>
      </c>
      <c r="X30" s="22" t="s">
        <v>336</v>
      </c>
      <c r="Y30" s="22" t="s">
        <v>335</v>
      </c>
      <c r="Z30" s="22" t="s">
        <v>337</v>
      </c>
      <c r="AA30" s="22" t="s">
        <v>338</v>
      </c>
      <c r="AB30" s="22" t="s">
        <v>339</v>
      </c>
      <c r="AC30" s="10">
        <v>2</v>
      </c>
      <c r="AD30" s="6">
        <f t="shared" si="6"/>
        <v>2</v>
      </c>
      <c r="AE30" s="10">
        <v>3</v>
      </c>
      <c r="AF30" s="10">
        <v>3</v>
      </c>
      <c r="AG30" s="10">
        <v>2</v>
      </c>
      <c r="AH30" s="10">
        <v>3</v>
      </c>
      <c r="AI30" s="10">
        <v>3</v>
      </c>
      <c r="AJ30" s="10">
        <v>3</v>
      </c>
      <c r="AK30" s="10">
        <v>3</v>
      </c>
      <c r="AL30" s="10">
        <v>2</v>
      </c>
      <c r="AM30" s="10">
        <v>2</v>
      </c>
      <c r="AN30" s="10">
        <v>4</v>
      </c>
      <c r="AO30" s="7">
        <f>IFERROR(IF(COUNT(AC30:AN30)=12,(AC30*'[1]Parameter Weights'!$F$7+AD30*'[1]Parameter Weights'!$F$9+AE30*'[1]Parameter Weights'!$F$10+AF30*'[1]Parameter Weights'!$F$11+AG30*'[1]Parameter Weights'!$F$12+AH30*'[1]Parameter Weights'!$F$13+AI30*'[1]Parameter Weights'!$F$14+AJ30*'[1]Parameter Weights'!$F$16+AK30*'[1]Parameter Weights'!$F$17+AL30*'[1]Parameter Weights'!$F$18+AM30*'[1]Parameter Weights'!$F$19+AN30*'[1]Parameter Weights'!$F$20)*20,IF(COUNT(AC30:AN30)=0,"","Incomplete")),"Check inputs")</f>
        <v>51.000000000000014</v>
      </c>
      <c r="AP30" s="8" t="s">
        <v>2</v>
      </c>
      <c r="AQ30" s="9" t="str">
        <f t="shared" si="1"/>
        <v>No</v>
      </c>
      <c r="AR30" s="9" t="s">
        <v>2</v>
      </c>
      <c r="AS30" s="9" t="str">
        <f t="shared" si="2"/>
        <v>Tier 3</v>
      </c>
      <c r="AT30" s="27" t="str">
        <f t="shared" si="3"/>
        <v>Major workover, execute after Tier 1 and 2 validate economics</v>
      </c>
      <c r="AU30" s="28" t="s">
        <v>340</v>
      </c>
      <c r="AX30" s="119">
        <f t="shared" si="4"/>
        <v>14</v>
      </c>
      <c r="AY30" s="119">
        <f t="shared" si="5"/>
        <v>8</v>
      </c>
    </row>
    <row r="31" spans="1:51" ht="50.1" customHeight="1" thickBot="1">
      <c r="A31" s="20">
        <v>23</v>
      </c>
      <c r="B31" s="123" t="s">
        <v>341</v>
      </c>
      <c r="C31" s="20" t="s">
        <v>59</v>
      </c>
      <c r="D31" s="20">
        <v>720538.2</v>
      </c>
      <c r="E31" s="20">
        <v>150786</v>
      </c>
      <c r="F31" s="21" t="s">
        <v>309</v>
      </c>
      <c r="G31" s="21" t="s">
        <v>342</v>
      </c>
      <c r="H31" s="41" t="s">
        <v>343</v>
      </c>
      <c r="I31" s="23">
        <v>10</v>
      </c>
      <c r="J31" s="20">
        <v>538</v>
      </c>
      <c r="K31" s="23">
        <f t="shared" si="7"/>
        <v>548</v>
      </c>
      <c r="L31" s="20">
        <v>3.3938751089026802</v>
      </c>
      <c r="M31" s="24">
        <v>3.3938751089026802</v>
      </c>
      <c r="N31" s="20" t="s">
        <v>63</v>
      </c>
      <c r="O31" s="1" t="s">
        <v>130</v>
      </c>
      <c r="P31" s="70">
        <v>41579</v>
      </c>
      <c r="Q31" s="24">
        <f t="shared" si="0"/>
        <v>13</v>
      </c>
      <c r="R31" s="24">
        <v>0.06</v>
      </c>
      <c r="S31" s="24" t="s">
        <v>344</v>
      </c>
      <c r="T31" s="26">
        <v>95</v>
      </c>
      <c r="U31" s="22" t="s">
        <v>345</v>
      </c>
      <c r="V31" s="22" t="s">
        <v>346</v>
      </c>
      <c r="W31" s="22" t="s">
        <v>347</v>
      </c>
      <c r="X31" s="22" t="s">
        <v>348</v>
      </c>
      <c r="Y31" s="22" t="s">
        <v>349</v>
      </c>
      <c r="Z31" s="22" t="s">
        <v>350</v>
      </c>
      <c r="AA31" s="22" t="s">
        <v>351</v>
      </c>
      <c r="AB31" s="22" t="s">
        <v>352</v>
      </c>
      <c r="AC31" s="10">
        <v>2</v>
      </c>
      <c r="AD31" s="6">
        <f t="shared" si="6"/>
        <v>4</v>
      </c>
      <c r="AE31" s="10">
        <v>2</v>
      </c>
      <c r="AF31" s="10">
        <v>1</v>
      </c>
      <c r="AG31" s="10">
        <v>3</v>
      </c>
      <c r="AH31" s="10">
        <v>3</v>
      </c>
      <c r="AI31" s="10">
        <v>3</v>
      </c>
      <c r="AJ31" s="10">
        <v>3</v>
      </c>
      <c r="AK31" s="10">
        <v>2</v>
      </c>
      <c r="AL31" s="10">
        <v>2</v>
      </c>
      <c r="AM31" s="10">
        <v>2</v>
      </c>
      <c r="AN31" s="10">
        <v>3</v>
      </c>
      <c r="AO31" s="132">
        <f>IFERROR(IF(COUNT(AC31:AN31)=12,(AC31*'[1]Parameter Weights'!$F$7+AD31*'[1]Parameter Weights'!$F$9+AE31*'[1]Parameter Weights'!$F$10+AF31*'[1]Parameter Weights'!$F$11+AG31*'[1]Parameter Weights'!$F$12+AH31*'[1]Parameter Weights'!$F$13+AI31*'[1]Parameter Weights'!$F$14+AJ31*'[1]Parameter Weights'!$F$16+AK31*'[1]Parameter Weights'!$F$17+AL31*'[1]Parameter Weights'!$F$18+AM31*'[1]Parameter Weights'!$F$19+AN31*'[1]Parameter Weights'!$F$20)*20,IF(COUNT(AC31:AN31)=0,"","Incomplete")),"Check inputs")</f>
        <v>54.000000000000014</v>
      </c>
      <c r="AP31" s="133" t="s">
        <v>2</v>
      </c>
      <c r="AQ31" s="134" t="str">
        <f t="shared" si="1"/>
        <v>No</v>
      </c>
      <c r="AR31" s="134" t="s">
        <v>2</v>
      </c>
      <c r="AS31" s="9" t="str">
        <f t="shared" si="2"/>
        <v>Tier 3</v>
      </c>
      <c r="AT31" s="127" t="str">
        <f t="shared" si="3"/>
        <v>Major workover, execute after Tier 1 and 2 validate economics</v>
      </c>
      <c r="AU31" s="28" t="s">
        <v>353</v>
      </c>
      <c r="AX31" s="3">
        <f t="shared" si="4"/>
        <v>13</v>
      </c>
      <c r="AY31" s="3">
        <f t="shared" si="5"/>
        <v>9</v>
      </c>
    </row>
    <row r="32" spans="1:51" ht="50.1" customHeight="1" thickBot="1">
      <c r="A32" s="21">
        <v>24</v>
      </c>
      <c r="B32" s="21" t="s">
        <v>354</v>
      </c>
      <c r="C32" s="20" t="s">
        <v>59</v>
      </c>
      <c r="D32" s="20">
        <v>718444.06</v>
      </c>
      <c r="E32" s="20">
        <v>152487.09</v>
      </c>
      <c r="F32" s="21" t="s">
        <v>309</v>
      </c>
      <c r="G32" s="21" t="s">
        <v>355</v>
      </c>
      <c r="H32" s="41" t="s">
        <v>356</v>
      </c>
      <c r="I32" s="23">
        <v>0</v>
      </c>
      <c r="J32" s="20">
        <v>550</v>
      </c>
      <c r="K32" s="23">
        <f t="shared" si="7"/>
        <v>550</v>
      </c>
      <c r="L32" s="20">
        <v>0.50549097394940001</v>
      </c>
      <c r="M32" s="24">
        <v>0.31552689837167902</v>
      </c>
      <c r="N32" s="20" t="s">
        <v>63</v>
      </c>
      <c r="O32" s="1" t="s">
        <v>64</v>
      </c>
      <c r="P32" s="70">
        <v>42217</v>
      </c>
      <c r="Q32" s="24">
        <f t="shared" si="0"/>
        <v>11</v>
      </c>
      <c r="R32" s="24">
        <v>1.1000000000000001</v>
      </c>
      <c r="S32" s="24" t="s">
        <v>357</v>
      </c>
      <c r="T32" s="26">
        <v>98.9</v>
      </c>
      <c r="U32" s="22" t="s">
        <v>358</v>
      </c>
      <c r="V32" s="22" t="s">
        <v>359</v>
      </c>
      <c r="W32" s="22" t="s">
        <v>360</v>
      </c>
      <c r="X32" s="22" t="s">
        <v>361</v>
      </c>
      <c r="Y32" s="22" t="s">
        <v>362</v>
      </c>
      <c r="Z32" s="22" t="s">
        <v>363</v>
      </c>
      <c r="AA32" s="22" t="s">
        <v>364</v>
      </c>
      <c r="AB32" s="22" t="s">
        <v>365</v>
      </c>
      <c r="AC32" s="10">
        <v>1</v>
      </c>
      <c r="AD32" s="6">
        <f t="shared" si="6"/>
        <v>4</v>
      </c>
      <c r="AE32" s="10">
        <v>2</v>
      </c>
      <c r="AF32" s="10">
        <v>1</v>
      </c>
      <c r="AG32" s="10">
        <v>2</v>
      </c>
      <c r="AH32" s="10">
        <v>3</v>
      </c>
      <c r="AI32" s="10">
        <v>3</v>
      </c>
      <c r="AJ32" s="10">
        <v>3</v>
      </c>
      <c r="AK32" s="10">
        <v>2</v>
      </c>
      <c r="AL32" s="10">
        <v>1</v>
      </c>
      <c r="AM32" s="10">
        <v>2</v>
      </c>
      <c r="AN32" s="10">
        <v>2</v>
      </c>
      <c r="AO32" s="132">
        <f>IFERROR(IF(COUNT(AC32:AN32)=12,(AC32*'[1]Parameter Weights'!$F$7+AD32*'[1]Parameter Weights'!$F$9+AE32*'[1]Parameter Weights'!$F$10+AF32*'[1]Parameter Weights'!$F$11+AG32*'[1]Parameter Weights'!$F$12+AH32*'[1]Parameter Weights'!$F$13+AI32*'[1]Parameter Weights'!$F$14+AJ32*'[1]Parameter Weights'!$F$16+AK32*'[1]Parameter Weights'!$F$17+AL32*'[1]Parameter Weights'!$F$18+AM32*'[1]Parameter Weights'!$F$19+AN32*'[1]Parameter Weights'!$F$20)*20,IF(COUNT(AC32:AN32)=0,"","Incomplete")),"Check inputs")</f>
        <v>47</v>
      </c>
      <c r="AP32" s="133" t="s">
        <v>2</v>
      </c>
      <c r="AQ32" s="134" t="str">
        <f t="shared" si="1"/>
        <v>No</v>
      </c>
      <c r="AR32" s="134" t="s">
        <v>2</v>
      </c>
      <c r="AS32" s="9" t="str">
        <f t="shared" si="2"/>
        <v>Tier 3</v>
      </c>
      <c r="AT32" s="127" t="str">
        <f t="shared" si="3"/>
        <v>Major workover, execute after Tier 1 and 2 validate economics</v>
      </c>
      <c r="AU32" s="28" t="s">
        <v>366</v>
      </c>
      <c r="AX32" s="3">
        <f t="shared" si="4"/>
        <v>11</v>
      </c>
      <c r="AY32" s="3">
        <f t="shared" si="5"/>
        <v>8</v>
      </c>
    </row>
    <row r="33" spans="1:51" ht="50.1" customHeight="1" thickBot="1">
      <c r="A33" s="21">
        <v>25</v>
      </c>
      <c r="B33" s="21" t="s">
        <v>367</v>
      </c>
      <c r="C33" s="20" t="s">
        <v>59</v>
      </c>
      <c r="D33" s="20">
        <v>719604.42</v>
      </c>
      <c r="E33" s="20">
        <v>151733.88</v>
      </c>
      <c r="F33" s="21" t="s">
        <v>309</v>
      </c>
      <c r="G33" s="21" t="s">
        <v>368</v>
      </c>
      <c r="H33" s="41" t="s">
        <v>369</v>
      </c>
      <c r="I33" s="23">
        <v>83</v>
      </c>
      <c r="J33" s="20">
        <v>2390</v>
      </c>
      <c r="K33" s="23">
        <f t="shared" si="7"/>
        <v>2473</v>
      </c>
      <c r="L33" s="20">
        <v>0.90312374656720895</v>
      </c>
      <c r="M33" s="24">
        <v>0.56221193183566098</v>
      </c>
      <c r="N33" s="20" t="s">
        <v>63</v>
      </c>
      <c r="O33" s="1" t="s">
        <v>370</v>
      </c>
      <c r="P33" s="70">
        <v>42156</v>
      </c>
      <c r="Q33" s="24">
        <f t="shared" si="0"/>
        <v>11</v>
      </c>
      <c r="R33" s="24">
        <v>23.9</v>
      </c>
      <c r="S33" s="24" t="s">
        <v>371</v>
      </c>
      <c r="T33" s="26">
        <v>98.4</v>
      </c>
      <c r="U33" s="22" t="s">
        <v>372</v>
      </c>
      <c r="V33" s="22" t="s">
        <v>373</v>
      </c>
      <c r="W33" s="22" t="s">
        <v>374</v>
      </c>
      <c r="X33" s="22" t="s">
        <v>375</v>
      </c>
      <c r="Y33" s="22" t="s">
        <v>376</v>
      </c>
      <c r="Z33" s="22" t="s">
        <v>377</v>
      </c>
      <c r="AA33" s="22" t="s">
        <v>378</v>
      </c>
      <c r="AB33" s="22" t="s">
        <v>379</v>
      </c>
      <c r="AC33" s="10">
        <v>2</v>
      </c>
      <c r="AD33" s="6">
        <f t="shared" si="6"/>
        <v>5</v>
      </c>
      <c r="AE33" s="10">
        <v>2</v>
      </c>
      <c r="AF33" s="10">
        <v>1</v>
      </c>
      <c r="AG33" s="10">
        <v>2</v>
      </c>
      <c r="AH33" s="10">
        <v>3</v>
      </c>
      <c r="AI33" s="10">
        <v>3</v>
      </c>
      <c r="AJ33" s="10">
        <v>3</v>
      </c>
      <c r="AK33" s="10">
        <v>2</v>
      </c>
      <c r="AL33" s="10">
        <v>1</v>
      </c>
      <c r="AM33" s="10">
        <v>2</v>
      </c>
      <c r="AN33" s="10">
        <v>2</v>
      </c>
      <c r="AO33" s="132">
        <f>IFERROR(IF(COUNT(AC33:AN33)=12,(AC33*'[1]Parameter Weights'!$F$7+AD33*'[1]Parameter Weights'!$F$9+AE33*'[1]Parameter Weights'!$F$10+AF33*'[1]Parameter Weights'!$F$11+AG33*'[1]Parameter Weights'!$F$12+AH33*'[1]Parameter Weights'!$F$13+AI33*'[1]Parameter Weights'!$F$14+AJ33*'[1]Parameter Weights'!$F$16+AK33*'[1]Parameter Weights'!$F$17+AL33*'[1]Parameter Weights'!$F$18+AM33*'[1]Parameter Weights'!$F$19+AN33*'[1]Parameter Weights'!$F$20)*20,IF(COUNT(AC33:AN33)=0,"","Incomplete")),"Check inputs")</f>
        <v>52.000000000000014</v>
      </c>
      <c r="AP33" s="133" t="s">
        <v>2</v>
      </c>
      <c r="AQ33" s="134" t="str">
        <f t="shared" si="1"/>
        <v>No</v>
      </c>
      <c r="AR33" s="134" t="s">
        <v>2</v>
      </c>
      <c r="AS33" s="9" t="str">
        <f t="shared" si="2"/>
        <v>Tier 3</v>
      </c>
      <c r="AT33" s="127" t="str">
        <f t="shared" si="3"/>
        <v>Major workover, execute after Tier 1 and 2 validate economics</v>
      </c>
      <c r="AU33" s="28" t="s">
        <v>380</v>
      </c>
      <c r="AX33" s="3">
        <f t="shared" si="4"/>
        <v>13</v>
      </c>
      <c r="AY33" s="3">
        <f t="shared" si="5"/>
        <v>8</v>
      </c>
    </row>
    <row r="34" spans="1:51" ht="50.1" customHeight="1" thickBot="1">
      <c r="A34" s="21">
        <v>26</v>
      </c>
      <c r="B34" s="21" t="s">
        <v>381</v>
      </c>
      <c r="C34" s="20" t="s">
        <v>59</v>
      </c>
      <c r="D34" s="20">
        <v>719625.43</v>
      </c>
      <c r="E34" s="20">
        <v>151740.92000000001</v>
      </c>
      <c r="F34" s="21" t="s">
        <v>309</v>
      </c>
      <c r="G34" s="21" t="s">
        <v>103</v>
      </c>
      <c r="H34" s="41" t="s">
        <v>382</v>
      </c>
      <c r="I34" s="23">
        <v>0</v>
      </c>
      <c r="J34" s="20">
        <v>0</v>
      </c>
      <c r="K34" s="23">
        <f t="shared" si="7"/>
        <v>0</v>
      </c>
      <c r="L34" s="20">
        <v>0.83438132181025904</v>
      </c>
      <c r="M34" s="24">
        <v>0.14437423686484799</v>
      </c>
      <c r="N34" s="20" t="s">
        <v>63</v>
      </c>
      <c r="O34" s="1" t="s">
        <v>370</v>
      </c>
      <c r="P34" s="70">
        <v>41821</v>
      </c>
      <c r="Q34" s="24">
        <f t="shared" si="0"/>
        <v>12</v>
      </c>
      <c r="R34" s="24">
        <v>6</v>
      </c>
      <c r="S34" s="24" t="s">
        <v>383</v>
      </c>
      <c r="T34" s="26">
        <v>98</v>
      </c>
      <c r="U34" s="22" t="s">
        <v>384</v>
      </c>
      <c r="V34" s="22" t="s">
        <v>385</v>
      </c>
      <c r="W34" s="22" t="s">
        <v>386</v>
      </c>
      <c r="X34" s="22" t="s">
        <v>387</v>
      </c>
      <c r="Y34" s="22" t="s">
        <v>388</v>
      </c>
      <c r="Z34" s="22" t="s">
        <v>389</v>
      </c>
      <c r="AA34" s="22" t="s">
        <v>390</v>
      </c>
      <c r="AB34" s="22" t="s">
        <v>391</v>
      </c>
      <c r="AC34" s="10">
        <v>1</v>
      </c>
      <c r="AD34" s="6">
        <f t="shared" si="6"/>
        <v>1</v>
      </c>
      <c r="AE34" s="10">
        <v>2</v>
      </c>
      <c r="AF34" s="10">
        <v>1</v>
      </c>
      <c r="AG34" s="10">
        <v>3</v>
      </c>
      <c r="AH34" s="10">
        <v>4</v>
      </c>
      <c r="AI34" s="10">
        <v>3</v>
      </c>
      <c r="AJ34" s="10">
        <v>3</v>
      </c>
      <c r="AK34" s="10">
        <v>2</v>
      </c>
      <c r="AL34" s="10">
        <v>3</v>
      </c>
      <c r="AM34" s="10">
        <v>3</v>
      </c>
      <c r="AN34" s="10">
        <v>1</v>
      </c>
      <c r="AO34" s="132">
        <f>IFERROR(IF(COUNT(AC34:AN34)=12,(AC34*'[1]Parameter Weights'!$F$7+AD34*'[1]Parameter Weights'!$F$9+AE34*'[1]Parameter Weights'!$F$10+AF34*'[1]Parameter Weights'!$F$11+AG34*'[1]Parameter Weights'!$F$12+AH34*'[1]Parameter Weights'!$F$13+AI34*'[1]Parameter Weights'!$F$14+AJ34*'[1]Parameter Weights'!$F$16+AK34*'[1]Parameter Weights'!$F$17+AL34*'[1]Parameter Weights'!$F$18+AM34*'[1]Parameter Weights'!$F$19+AN34*'[1]Parameter Weights'!$F$20)*20,IF(COUNT(AC34:AN34)=0,"","Incomplete")),"Check inputs")</f>
        <v>44.999999999999993</v>
      </c>
      <c r="AP34" s="133" t="s">
        <v>2</v>
      </c>
      <c r="AQ34" s="134" t="str">
        <f t="shared" si="1"/>
        <v>No</v>
      </c>
      <c r="AR34" s="134" t="s">
        <v>2</v>
      </c>
      <c r="AS34" s="9" t="str">
        <f t="shared" si="2"/>
        <v>Tier 3</v>
      </c>
      <c r="AT34" s="127" t="str">
        <f t="shared" si="3"/>
        <v>Major workover, execute after Tier 1 and 2 validate economics</v>
      </c>
      <c r="AU34" s="28" t="s">
        <v>392</v>
      </c>
      <c r="AX34" s="3">
        <f t="shared" si="4"/>
        <v>7</v>
      </c>
      <c r="AY34" s="3">
        <f t="shared" si="5"/>
        <v>10</v>
      </c>
    </row>
    <row r="35" spans="1:51" ht="50.1" customHeight="1" thickBot="1">
      <c r="A35" s="20">
        <v>27</v>
      </c>
      <c r="B35" s="21" t="s">
        <v>393</v>
      </c>
      <c r="C35" s="20" t="s">
        <v>59</v>
      </c>
      <c r="D35" s="20">
        <v>720290.19</v>
      </c>
      <c r="E35" s="20">
        <v>152722.23000000001</v>
      </c>
      <c r="F35" s="21" t="s">
        <v>309</v>
      </c>
      <c r="G35" s="21" t="s">
        <v>394</v>
      </c>
      <c r="H35" s="41" t="s">
        <v>395</v>
      </c>
      <c r="I35" s="23">
        <v>2272</v>
      </c>
      <c r="J35" s="20">
        <v>641</v>
      </c>
      <c r="K35" s="23">
        <f t="shared" si="7"/>
        <v>2913</v>
      </c>
      <c r="L35" s="20">
        <v>0.48140308944412402</v>
      </c>
      <c r="M35" s="24">
        <v>0.30260400350646399</v>
      </c>
      <c r="N35" s="20" t="s">
        <v>63</v>
      </c>
      <c r="O35" s="1" t="s">
        <v>130</v>
      </c>
      <c r="P35" s="70">
        <v>41759</v>
      </c>
      <c r="Q35" s="24">
        <f t="shared" si="0"/>
        <v>12</v>
      </c>
      <c r="R35" s="24">
        <v>4.46</v>
      </c>
      <c r="S35" s="24" t="s">
        <v>396</v>
      </c>
      <c r="T35" s="26">
        <v>99.6</v>
      </c>
      <c r="U35" s="30" t="e">
        <f>VLOOKUP(P35,[2]Assessment!$A$4:$BO$101,19,FALSE)</f>
        <v>#N/A</v>
      </c>
      <c r="V35" s="22" t="s">
        <v>397</v>
      </c>
      <c r="W35" s="22" t="s">
        <v>398</v>
      </c>
      <c r="X35" s="22" t="s">
        <v>399</v>
      </c>
      <c r="Y35" s="22" t="s">
        <v>400</v>
      </c>
      <c r="Z35" s="22" t="s">
        <v>401</v>
      </c>
      <c r="AA35" s="22" t="s">
        <v>402</v>
      </c>
      <c r="AB35" s="22" t="s">
        <v>403</v>
      </c>
      <c r="AC35" s="10">
        <v>2</v>
      </c>
      <c r="AD35" s="6">
        <f t="shared" si="6"/>
        <v>5</v>
      </c>
      <c r="AE35" s="10">
        <v>2</v>
      </c>
      <c r="AF35" s="10">
        <v>1</v>
      </c>
      <c r="AG35" s="10">
        <v>2</v>
      </c>
      <c r="AH35" s="10">
        <v>3</v>
      </c>
      <c r="AI35" s="10">
        <v>3</v>
      </c>
      <c r="AJ35" s="10">
        <v>3</v>
      </c>
      <c r="AK35" s="10">
        <v>1</v>
      </c>
      <c r="AL35" s="10">
        <v>1</v>
      </c>
      <c r="AM35" s="10">
        <v>2</v>
      </c>
      <c r="AN35" s="10">
        <v>2</v>
      </c>
      <c r="AO35" s="132">
        <f>IFERROR(IF(COUNT(AC35:AN35)=12,(AC35*'[1]Parameter Weights'!$F$7+AD35*'[1]Parameter Weights'!$F$9+AE35*'[1]Parameter Weights'!$F$10+AF35*'[1]Parameter Weights'!$F$11+AG35*'[1]Parameter Weights'!$F$12+AH35*'[1]Parameter Weights'!$F$13+AI35*'[1]Parameter Weights'!$F$14+AJ35*'[1]Parameter Weights'!$F$16+AK35*'[1]Parameter Weights'!$F$17+AL35*'[1]Parameter Weights'!$F$18+AM35*'[1]Parameter Weights'!$F$19+AN35*'[1]Parameter Weights'!$F$20)*20,IF(COUNT(AC35:AN35)=0,"","Incomplete")),"Check inputs")</f>
        <v>50.000000000000007</v>
      </c>
      <c r="AP35" s="133" t="s">
        <v>2</v>
      </c>
      <c r="AQ35" s="134" t="str">
        <f t="shared" si="1"/>
        <v>No</v>
      </c>
      <c r="AR35" s="134" t="s">
        <v>2</v>
      </c>
      <c r="AS35" s="9" t="str">
        <f t="shared" si="2"/>
        <v>Tier 3</v>
      </c>
      <c r="AT35" s="127" t="str">
        <f t="shared" si="3"/>
        <v>Major workover, execute after Tier 1 and 2 validate economics</v>
      </c>
      <c r="AU35" s="28" t="s">
        <v>404</v>
      </c>
      <c r="AX35" s="3">
        <f t="shared" si="4"/>
        <v>12</v>
      </c>
      <c r="AY35" s="3">
        <f t="shared" si="5"/>
        <v>8</v>
      </c>
    </row>
    <row r="36" spans="1:51" ht="50.1" customHeight="1" thickBot="1">
      <c r="A36" s="21">
        <v>28</v>
      </c>
      <c r="B36" s="21" t="s">
        <v>405</v>
      </c>
      <c r="C36" s="20" t="s">
        <v>59</v>
      </c>
      <c r="D36" s="20">
        <v>720788.8</v>
      </c>
      <c r="E36" s="20">
        <v>152380.79999999999</v>
      </c>
      <c r="F36" s="21" t="s">
        <v>309</v>
      </c>
      <c r="G36" s="21" t="s">
        <v>310</v>
      </c>
      <c r="H36" s="41" t="s">
        <v>310</v>
      </c>
      <c r="I36" s="23">
        <v>1858</v>
      </c>
      <c r="J36" s="23">
        <v>0</v>
      </c>
      <c r="K36" s="23">
        <f t="shared" si="7"/>
        <v>1858</v>
      </c>
      <c r="L36" s="20">
        <v>0.5</v>
      </c>
      <c r="M36" s="24">
        <v>0.5</v>
      </c>
      <c r="N36" s="20" t="s">
        <v>63</v>
      </c>
      <c r="O36" s="1" t="s">
        <v>370</v>
      </c>
      <c r="P36" s="70">
        <v>42364</v>
      </c>
      <c r="Q36" s="24">
        <f t="shared" si="0"/>
        <v>11</v>
      </c>
      <c r="R36" s="24">
        <v>0.8</v>
      </c>
      <c r="S36" s="24" t="e">
        <f>VLOOKUP(J36,[2]Assessment!$A$4:$BO$101,19,FALSE)</f>
        <v>#N/A</v>
      </c>
      <c r="T36" s="20">
        <v>90.22</v>
      </c>
      <c r="U36" s="20" t="e">
        <f>VLOOKUP(P36,[2]Assessment!$A$4:$BO$101,19,FALSE)</f>
        <v>#N/A</v>
      </c>
      <c r="V36" s="22" t="s">
        <v>406</v>
      </c>
      <c r="W36" s="22" t="s">
        <v>407</v>
      </c>
      <c r="X36" s="22" t="s">
        <v>408</v>
      </c>
      <c r="Y36" s="22" t="s">
        <v>409</v>
      </c>
      <c r="Z36" s="22" t="s">
        <v>410</v>
      </c>
      <c r="AA36" s="22" t="s">
        <v>411</v>
      </c>
      <c r="AB36" s="22" t="s">
        <v>412</v>
      </c>
      <c r="AC36" s="10">
        <v>2</v>
      </c>
      <c r="AD36" s="6">
        <f t="shared" si="6"/>
        <v>5</v>
      </c>
      <c r="AE36" s="10">
        <v>2</v>
      </c>
      <c r="AF36" s="10">
        <v>1</v>
      </c>
      <c r="AG36" s="10">
        <v>3</v>
      </c>
      <c r="AH36" s="10">
        <v>3</v>
      </c>
      <c r="AI36" s="10">
        <v>3</v>
      </c>
      <c r="AJ36" s="10">
        <v>2</v>
      </c>
      <c r="AK36" s="10">
        <v>2</v>
      </c>
      <c r="AL36" s="10">
        <v>1</v>
      </c>
      <c r="AM36" s="10">
        <v>2</v>
      </c>
      <c r="AN36" s="10">
        <v>2</v>
      </c>
      <c r="AO36" s="132">
        <f>IFERROR(IF(COUNT(AC36:AN36)=12,(AC36*'[1]Parameter Weights'!$F$7+AD36*'[1]Parameter Weights'!$F$9+AE36*'[1]Parameter Weights'!$F$10+AF36*'[1]Parameter Weights'!$F$11+AG36*'[1]Parameter Weights'!$F$12+AH36*'[1]Parameter Weights'!$F$13+AI36*'[1]Parameter Weights'!$F$14+AJ36*'[1]Parameter Weights'!$F$16+AK36*'[1]Parameter Weights'!$F$17+AL36*'[1]Parameter Weights'!$F$18+AM36*'[1]Parameter Weights'!$F$19+AN36*'[1]Parameter Weights'!$F$20)*20,IF(COUNT(AC36:AN36)=0,"","Incomplete")),"Check inputs")</f>
        <v>53.000000000000007</v>
      </c>
      <c r="AP36" s="133" t="s">
        <v>2</v>
      </c>
      <c r="AQ36" s="134" t="str">
        <f t="shared" si="1"/>
        <v>No</v>
      </c>
      <c r="AR36" s="134" t="s">
        <v>2</v>
      </c>
      <c r="AS36" s="9" t="str">
        <f t="shared" si="2"/>
        <v>Tier 3</v>
      </c>
      <c r="AT36" s="127" t="str">
        <f t="shared" si="3"/>
        <v>Major workover, execute after Tier 1 and 2 validate economics</v>
      </c>
      <c r="AU36" s="28" t="s">
        <v>413</v>
      </c>
      <c r="AX36" s="3">
        <f t="shared" si="4"/>
        <v>13</v>
      </c>
      <c r="AY36" s="3">
        <f t="shared" si="5"/>
        <v>8</v>
      </c>
    </row>
    <row r="37" spans="1:51" ht="50.1" customHeight="1" thickBot="1">
      <c r="A37" s="21">
        <v>29</v>
      </c>
      <c r="B37" s="21" t="s">
        <v>414</v>
      </c>
      <c r="C37" s="20" t="s">
        <v>59</v>
      </c>
      <c r="D37" s="20">
        <v>722766.58</v>
      </c>
      <c r="E37" s="20">
        <v>108250.41</v>
      </c>
      <c r="F37" s="21" t="s">
        <v>415</v>
      </c>
      <c r="G37" s="21" t="s">
        <v>416</v>
      </c>
      <c r="H37" s="41" t="s">
        <v>417</v>
      </c>
      <c r="I37" s="23">
        <v>93</v>
      </c>
      <c r="J37" s="20">
        <v>0</v>
      </c>
      <c r="K37" s="23">
        <f t="shared" si="7"/>
        <v>93</v>
      </c>
      <c r="L37" s="20">
        <v>9.0680167618022306E-2</v>
      </c>
      <c r="M37" s="24">
        <v>4.8715410701325998E-2</v>
      </c>
      <c r="N37" s="20" t="s">
        <v>63</v>
      </c>
      <c r="O37" s="1" t="s">
        <v>64</v>
      </c>
      <c r="P37" s="70">
        <v>43818</v>
      </c>
      <c r="Q37" s="24">
        <f t="shared" si="0"/>
        <v>7</v>
      </c>
      <c r="R37" s="24">
        <v>20.02</v>
      </c>
      <c r="S37" s="24" t="s">
        <v>418</v>
      </c>
      <c r="T37" s="20">
        <v>12.55</v>
      </c>
      <c r="U37" s="20" t="e">
        <f>VLOOKUP(P37,[2]Assessment!$A$4:$BO$101,19,FALSE)</f>
        <v>#N/A</v>
      </c>
      <c r="V37" s="22" t="s">
        <v>419</v>
      </c>
      <c r="W37" s="22" t="s">
        <v>420</v>
      </c>
      <c r="X37" s="22" t="s">
        <v>421</v>
      </c>
      <c r="Y37" s="22" t="s">
        <v>422</v>
      </c>
      <c r="Z37" s="22" t="s">
        <v>423</v>
      </c>
      <c r="AA37" s="22" t="s">
        <v>424</v>
      </c>
      <c r="AB37" s="22" t="s">
        <v>425</v>
      </c>
      <c r="AC37" s="10">
        <v>3</v>
      </c>
      <c r="AD37" s="6">
        <f t="shared" si="6"/>
        <v>2</v>
      </c>
      <c r="AE37" s="10">
        <v>4</v>
      </c>
      <c r="AF37" s="10">
        <v>3</v>
      </c>
      <c r="AG37" s="10">
        <v>2</v>
      </c>
      <c r="AH37" s="10">
        <v>2</v>
      </c>
      <c r="AI37" s="10">
        <v>3</v>
      </c>
      <c r="AJ37" s="10">
        <v>2</v>
      </c>
      <c r="AK37" s="10">
        <v>2</v>
      </c>
      <c r="AL37" s="10">
        <v>3</v>
      </c>
      <c r="AM37" s="10">
        <v>2</v>
      </c>
      <c r="AN37" s="10">
        <v>3</v>
      </c>
      <c r="AO37" s="132">
        <f>IFERROR(IF(COUNT(AC37:AN37)=12,(AC37*'[1]Parameter Weights'!$F$7+AD37*'[1]Parameter Weights'!$F$9+AE37*'[1]Parameter Weights'!$F$10+AF37*'[1]Parameter Weights'!$F$11+AG37*'[1]Parameter Weights'!$F$12+AH37*'[1]Parameter Weights'!$F$13+AI37*'[1]Parameter Weights'!$F$14+AJ37*'[1]Parameter Weights'!$F$16+AK37*'[1]Parameter Weights'!$F$17+AL37*'[1]Parameter Weights'!$F$18+AM37*'[1]Parameter Weights'!$F$19+AN37*'[1]Parameter Weights'!$F$20)*20,IF(COUNT(AC37:AN37)=0,"","Incomplete")),"Check inputs")</f>
        <v>48</v>
      </c>
      <c r="AP37" s="133" t="s">
        <v>2</v>
      </c>
      <c r="AQ37" s="134" t="str">
        <f t="shared" si="1"/>
        <v>No</v>
      </c>
      <c r="AR37" s="134" t="s">
        <v>2</v>
      </c>
      <c r="AS37" s="9" t="str">
        <f t="shared" si="2"/>
        <v>Tier 3</v>
      </c>
      <c r="AT37" s="127" t="str">
        <f t="shared" si="3"/>
        <v>Major workover, execute after Tier 1 and 2 validate economics</v>
      </c>
      <c r="AU37" s="28" t="s">
        <v>426</v>
      </c>
      <c r="AX37" s="3">
        <f t="shared" si="4"/>
        <v>14</v>
      </c>
      <c r="AY37" s="3">
        <f t="shared" si="5"/>
        <v>6</v>
      </c>
    </row>
    <row r="38" spans="1:51" ht="50.1" customHeight="1" thickBot="1">
      <c r="A38" s="21">
        <v>30</v>
      </c>
      <c r="B38" s="21" t="s">
        <v>427</v>
      </c>
      <c r="C38" s="20" t="s">
        <v>59</v>
      </c>
      <c r="D38" s="20">
        <v>724422.3</v>
      </c>
      <c r="E38" s="20">
        <v>105459.3</v>
      </c>
      <c r="F38" s="21" t="s">
        <v>428</v>
      </c>
      <c r="G38" s="21" t="s">
        <v>429</v>
      </c>
      <c r="H38" s="41" t="s">
        <v>417</v>
      </c>
      <c r="I38" s="23">
        <v>272</v>
      </c>
      <c r="J38" s="20">
        <v>0</v>
      </c>
      <c r="K38" s="23">
        <f t="shared" si="7"/>
        <v>272</v>
      </c>
      <c r="L38" s="20">
        <v>9.1464235750805103E-2</v>
      </c>
      <c r="M38" s="24">
        <v>9.1007705154816695E-2</v>
      </c>
      <c r="N38" s="20" t="s">
        <v>63</v>
      </c>
      <c r="O38" s="1" t="s">
        <v>64</v>
      </c>
      <c r="P38" s="70">
        <v>40574</v>
      </c>
      <c r="Q38" s="24">
        <f t="shared" si="0"/>
        <v>15</v>
      </c>
      <c r="R38" s="24">
        <v>26</v>
      </c>
      <c r="S38" s="24" t="s">
        <v>430</v>
      </c>
      <c r="T38" s="26">
        <v>78</v>
      </c>
      <c r="U38" s="22" t="s">
        <v>431</v>
      </c>
      <c r="V38" s="22" t="s">
        <v>432</v>
      </c>
      <c r="W38" s="22" t="s">
        <v>433</v>
      </c>
      <c r="X38" s="22" t="s">
        <v>434</v>
      </c>
      <c r="Y38" s="22" t="s">
        <v>435</v>
      </c>
      <c r="Z38" s="22" t="s">
        <v>436</v>
      </c>
      <c r="AA38" s="22" t="s">
        <v>437</v>
      </c>
      <c r="AB38" s="22" t="s">
        <v>438</v>
      </c>
      <c r="AC38" s="10">
        <v>3</v>
      </c>
      <c r="AD38" s="6">
        <f t="shared" si="6"/>
        <v>3</v>
      </c>
      <c r="AE38" s="10">
        <v>4</v>
      </c>
      <c r="AF38" s="10">
        <v>3</v>
      </c>
      <c r="AG38" s="10">
        <v>3</v>
      </c>
      <c r="AH38" s="10">
        <v>4</v>
      </c>
      <c r="AI38" s="10">
        <v>3</v>
      </c>
      <c r="AJ38" s="10">
        <v>3</v>
      </c>
      <c r="AK38" s="10">
        <v>2</v>
      </c>
      <c r="AL38" s="10">
        <v>3</v>
      </c>
      <c r="AM38" s="10">
        <v>2</v>
      </c>
      <c r="AN38" s="10">
        <v>4</v>
      </c>
      <c r="AO38" s="132">
        <f>IFERROR(IF(COUNT(AC38:AN38)=12,(AC38*'[1]Parameter Weights'!$F$7+AD38*'[1]Parameter Weights'!$F$9+AE38*'[1]Parameter Weights'!$F$10+AF38*'[1]Parameter Weights'!$F$11+AG38*'[1]Parameter Weights'!$F$12+AH38*'[1]Parameter Weights'!$F$13+AI38*'[1]Parameter Weights'!$F$14+AJ38*'[1]Parameter Weights'!$F$16+AK38*'[1]Parameter Weights'!$F$17+AL38*'[1]Parameter Weights'!$F$18+AM38*'[1]Parameter Weights'!$F$19+AN38*'[1]Parameter Weights'!$F$20)*20,IF(COUNT(AC38:AN38)=0,"","Incomplete")),"Check inputs")</f>
        <v>61.000000000000014</v>
      </c>
      <c r="AP38" s="133" t="s">
        <v>2</v>
      </c>
      <c r="AQ38" s="134" t="str">
        <f t="shared" si="1"/>
        <v>No</v>
      </c>
      <c r="AR38" s="134" t="s">
        <v>2</v>
      </c>
      <c r="AS38" s="9" t="str">
        <f t="shared" si="2"/>
        <v>Tier 2</v>
      </c>
      <c r="AT38" s="127" t="str">
        <f t="shared" si="3"/>
        <v>Engineering intervention, validate economics at base oil price</v>
      </c>
      <c r="AU38" s="28" t="s">
        <v>439</v>
      </c>
      <c r="AX38" s="3">
        <f t="shared" si="4"/>
        <v>16</v>
      </c>
      <c r="AY38" s="3">
        <f t="shared" si="5"/>
        <v>10</v>
      </c>
    </row>
    <row r="39" spans="1:51" ht="50.1" customHeight="1" thickBot="1">
      <c r="A39" s="20">
        <v>31</v>
      </c>
      <c r="B39" s="21" t="s">
        <v>440</v>
      </c>
      <c r="C39" s="20" t="s">
        <v>59</v>
      </c>
      <c r="D39" s="20">
        <v>729961.62</v>
      </c>
      <c r="E39" s="20">
        <v>103193.71</v>
      </c>
      <c r="F39" s="21" t="s">
        <v>441</v>
      </c>
      <c r="G39" s="21" t="s">
        <v>442</v>
      </c>
      <c r="H39" s="41" t="s">
        <v>443</v>
      </c>
      <c r="I39" s="23">
        <v>470</v>
      </c>
      <c r="J39" s="20">
        <v>124</v>
      </c>
      <c r="K39" s="23">
        <f t="shared" si="7"/>
        <v>594</v>
      </c>
      <c r="L39" s="20">
        <v>9.7132803352020307</v>
      </c>
      <c r="M39" s="24">
        <v>0.5</v>
      </c>
      <c r="N39" s="20" t="s">
        <v>63</v>
      </c>
      <c r="O39" s="1" t="s">
        <v>130</v>
      </c>
      <c r="P39" s="70">
        <v>44835</v>
      </c>
      <c r="Q39" s="24">
        <f t="shared" si="0"/>
        <v>4</v>
      </c>
      <c r="R39" s="24">
        <v>0.33</v>
      </c>
      <c r="S39" s="24" t="s">
        <v>444</v>
      </c>
      <c r="T39" s="26">
        <v>99.8</v>
      </c>
      <c r="U39" s="20" t="e">
        <f>VLOOKUP(P39,[2]Assessment!$A$4:$BO$101,19,FALSE)</f>
        <v>#N/A</v>
      </c>
      <c r="V39" s="22" t="s">
        <v>445</v>
      </c>
      <c r="W39" s="22" t="s">
        <v>446</v>
      </c>
      <c r="X39" s="22" t="s">
        <v>447</v>
      </c>
      <c r="Y39" s="22" t="s">
        <v>448</v>
      </c>
      <c r="Z39" s="22" t="s">
        <v>449</v>
      </c>
      <c r="AA39" s="22" t="s">
        <v>450</v>
      </c>
      <c r="AB39" s="22" t="s">
        <v>451</v>
      </c>
      <c r="AC39" s="10">
        <v>2</v>
      </c>
      <c r="AD39" s="6">
        <f t="shared" si="6"/>
        <v>4</v>
      </c>
      <c r="AE39" s="10">
        <v>2</v>
      </c>
      <c r="AF39" s="10">
        <v>1</v>
      </c>
      <c r="AG39" s="10">
        <v>3</v>
      </c>
      <c r="AH39" s="10">
        <v>3</v>
      </c>
      <c r="AI39" s="10">
        <v>3</v>
      </c>
      <c r="AJ39" s="10">
        <v>2</v>
      </c>
      <c r="AK39" s="10">
        <v>1</v>
      </c>
      <c r="AL39" s="10">
        <v>2</v>
      </c>
      <c r="AM39" s="10">
        <v>2</v>
      </c>
      <c r="AN39" s="10">
        <v>2</v>
      </c>
      <c r="AO39" s="132">
        <f>IFERROR(IF(COUNT(AC39:AN39)=12,(AC39*'[1]Parameter Weights'!$F$7+AD39*'[1]Parameter Weights'!$F$9+AE39*'[1]Parameter Weights'!$F$10+AF39*'[1]Parameter Weights'!$F$11+AG39*'[1]Parameter Weights'!$F$12+AH39*'[1]Parameter Weights'!$F$13+AI39*'[1]Parameter Weights'!$F$14+AJ39*'[1]Parameter Weights'!$F$16+AK39*'[1]Parameter Weights'!$F$17+AL39*'[1]Parameter Weights'!$F$18+AM39*'[1]Parameter Weights'!$F$19+AN39*'[1]Parameter Weights'!$F$20)*20,IF(COUNT(AC39:AN39)=0,"","Incomplete")),"Check inputs")</f>
        <v>49.000000000000014</v>
      </c>
      <c r="AP39" s="133" t="s">
        <v>2</v>
      </c>
      <c r="AQ39" s="134" t="str">
        <f t="shared" si="1"/>
        <v>No</v>
      </c>
      <c r="AR39" s="134" t="s">
        <v>2</v>
      </c>
      <c r="AS39" s="9" t="str">
        <f t="shared" si="2"/>
        <v>Tier 3</v>
      </c>
      <c r="AT39" s="127" t="str">
        <f t="shared" si="3"/>
        <v>Major workover, execute after Tier 1 and 2 validate economics</v>
      </c>
      <c r="AU39" s="28" t="s">
        <v>452</v>
      </c>
      <c r="AX39" s="3">
        <f t="shared" si="4"/>
        <v>11</v>
      </c>
      <c r="AY39" s="3">
        <f t="shared" si="5"/>
        <v>8</v>
      </c>
    </row>
    <row r="40" spans="1:51" s="16" customFormat="1" ht="50.1" customHeight="1" thickBot="1">
      <c r="A40" s="21">
        <v>32</v>
      </c>
      <c r="B40" s="21" t="s">
        <v>453</v>
      </c>
      <c r="C40" s="20" t="s">
        <v>59</v>
      </c>
      <c r="D40" s="20">
        <v>762856.35</v>
      </c>
      <c r="E40" s="20">
        <v>92710.16</v>
      </c>
      <c r="F40" s="21" t="s">
        <v>454</v>
      </c>
      <c r="G40" s="21" t="s">
        <v>429</v>
      </c>
      <c r="H40" s="41" t="s">
        <v>455</v>
      </c>
      <c r="I40" s="23">
        <v>0</v>
      </c>
      <c r="J40" s="20">
        <v>0</v>
      </c>
      <c r="K40" s="23">
        <f t="shared" si="7"/>
        <v>0</v>
      </c>
      <c r="L40" s="20">
        <v>1.7272814980955</v>
      </c>
      <c r="M40" s="24">
        <v>0.44743532722179702</v>
      </c>
      <c r="N40" s="20" t="s">
        <v>63</v>
      </c>
      <c r="O40" s="1" t="s">
        <v>64</v>
      </c>
      <c r="P40" s="70">
        <v>43982</v>
      </c>
      <c r="Q40" s="24">
        <f t="shared" si="0"/>
        <v>6</v>
      </c>
      <c r="R40" s="24">
        <v>0.61</v>
      </c>
      <c r="S40" s="24" t="s">
        <v>456</v>
      </c>
      <c r="T40" s="26">
        <v>99.98</v>
      </c>
      <c r="U40" s="31" t="s">
        <v>457</v>
      </c>
      <c r="V40" s="22" t="s">
        <v>458</v>
      </c>
      <c r="W40" s="22" t="s">
        <v>459</v>
      </c>
      <c r="X40" s="22" t="s">
        <v>460</v>
      </c>
      <c r="Y40" s="22" t="s">
        <v>461</v>
      </c>
      <c r="Z40" s="22" t="s">
        <v>462</v>
      </c>
      <c r="AA40" s="22" t="s">
        <v>463</v>
      </c>
      <c r="AB40" s="22" t="s">
        <v>464</v>
      </c>
      <c r="AC40" s="12">
        <v>3</v>
      </c>
      <c r="AD40" s="6">
        <f t="shared" si="6"/>
        <v>1</v>
      </c>
      <c r="AE40" s="12">
        <v>3</v>
      </c>
      <c r="AF40" s="12">
        <v>1</v>
      </c>
      <c r="AG40" s="12">
        <v>3</v>
      </c>
      <c r="AH40" s="12">
        <v>4</v>
      </c>
      <c r="AI40" s="10">
        <v>3</v>
      </c>
      <c r="AJ40" s="12">
        <v>3</v>
      </c>
      <c r="AK40" s="12">
        <v>1</v>
      </c>
      <c r="AL40" s="12">
        <v>3</v>
      </c>
      <c r="AM40" s="12">
        <v>4</v>
      </c>
      <c r="AN40" s="12">
        <v>3</v>
      </c>
      <c r="AO40" s="13">
        <f>IFERROR(IF(COUNT(AC40:AN40)=12,(AC40*'[1]Parameter Weights'!$F$7+AD40*'[1]Parameter Weights'!$F$9+AE40*'[1]Parameter Weights'!$F$10+AF40*'[1]Parameter Weights'!$F$11+AG40*'[1]Parameter Weights'!$F$12+AH40*'[1]Parameter Weights'!$F$13+AI40*'[1]Parameter Weights'!$F$14+AJ40*'[1]Parameter Weights'!$F$16+AK40*'[1]Parameter Weights'!$F$17+AL40*'[1]Parameter Weights'!$F$18+AM40*'[1]Parameter Weights'!$F$19+AN40*'[1]Parameter Weights'!$F$20)*20,IF(COUNT(AC40:AN40)=0,"","Incomplete")),"Check inputs")</f>
        <v>51</v>
      </c>
      <c r="AP40" s="14" t="s">
        <v>2</v>
      </c>
      <c r="AQ40" s="15" t="str">
        <f t="shared" si="1"/>
        <v>No</v>
      </c>
      <c r="AR40" s="15" t="s">
        <v>2</v>
      </c>
      <c r="AS40" s="9" t="str">
        <f t="shared" si="2"/>
        <v>Tier 3</v>
      </c>
      <c r="AT40" s="32" t="str">
        <f t="shared" si="3"/>
        <v>Major workover, execute after Tier 1 and 2 validate economics</v>
      </c>
      <c r="AU40" s="28" t="s">
        <v>465</v>
      </c>
      <c r="AX40" s="119">
        <f t="shared" si="4"/>
        <v>11</v>
      </c>
      <c r="AY40" s="119">
        <f t="shared" si="5"/>
        <v>10</v>
      </c>
    </row>
    <row r="41" spans="1:51" s="16" customFormat="1" ht="50.1" customHeight="1" thickBot="1">
      <c r="A41" s="20">
        <v>33</v>
      </c>
      <c r="B41" s="21" t="s">
        <v>466</v>
      </c>
      <c r="C41" s="20" t="s">
        <v>59</v>
      </c>
      <c r="D41" s="20">
        <v>763904.85</v>
      </c>
      <c r="E41" s="20">
        <v>88946.84</v>
      </c>
      <c r="F41" s="21" t="s">
        <v>454</v>
      </c>
      <c r="G41" s="21" t="s">
        <v>467</v>
      </c>
      <c r="H41" s="41" t="s">
        <v>468</v>
      </c>
      <c r="I41" s="23">
        <v>242</v>
      </c>
      <c r="J41" s="20">
        <v>223</v>
      </c>
      <c r="K41" s="23">
        <f t="shared" si="7"/>
        <v>465</v>
      </c>
      <c r="L41" s="20">
        <v>1.0863496994736099</v>
      </c>
      <c r="M41" s="24">
        <v>6.23511541069311E-3</v>
      </c>
      <c r="N41" s="20" t="s">
        <v>63</v>
      </c>
      <c r="O41" s="1" t="s">
        <v>130</v>
      </c>
      <c r="P41" s="70">
        <v>42248</v>
      </c>
      <c r="Q41" s="24">
        <f t="shared" ref="Q41:Q72" si="8">2026-YEAR(P41)</f>
        <v>11</v>
      </c>
      <c r="R41" s="24">
        <v>3.2</v>
      </c>
      <c r="S41" s="24" t="s">
        <v>469</v>
      </c>
      <c r="T41" s="26">
        <v>99.98</v>
      </c>
      <c r="U41" s="31" t="s">
        <v>470</v>
      </c>
      <c r="V41" s="22" t="s">
        <v>471</v>
      </c>
      <c r="W41" s="22" t="s">
        <v>472</v>
      </c>
      <c r="X41" s="22" t="s">
        <v>473</v>
      </c>
      <c r="Y41" s="22" t="s">
        <v>474</v>
      </c>
      <c r="Z41" s="22" t="s">
        <v>475</v>
      </c>
      <c r="AA41" s="22" t="s">
        <v>476</v>
      </c>
      <c r="AB41" s="22" t="s">
        <v>477</v>
      </c>
      <c r="AC41" s="12">
        <v>2</v>
      </c>
      <c r="AD41" s="6">
        <f t="shared" si="6"/>
        <v>4</v>
      </c>
      <c r="AE41" s="12">
        <v>2</v>
      </c>
      <c r="AF41" s="12">
        <v>1</v>
      </c>
      <c r="AG41" s="12">
        <v>3</v>
      </c>
      <c r="AH41" s="12">
        <v>5</v>
      </c>
      <c r="AI41" s="10">
        <v>3</v>
      </c>
      <c r="AJ41" s="12">
        <v>2</v>
      </c>
      <c r="AK41" s="12">
        <v>2</v>
      </c>
      <c r="AL41" s="12">
        <v>3</v>
      </c>
      <c r="AM41" s="12">
        <v>4</v>
      </c>
      <c r="AN41" s="12">
        <v>4</v>
      </c>
      <c r="AO41" s="13">
        <f>IFERROR(IF(COUNT(AC41:AN41)=12,(AC41*'[1]Parameter Weights'!$F$7+AD41*'[1]Parameter Weights'!$F$9+AE41*'[1]Parameter Weights'!$F$10+AF41*'[1]Parameter Weights'!$F$11+AG41*'[1]Parameter Weights'!$F$12+AH41*'[1]Parameter Weights'!$F$13+AI41*'[1]Parameter Weights'!$F$14+AJ41*'[1]Parameter Weights'!$F$16+AK41*'[1]Parameter Weights'!$F$17+AL41*'[1]Parameter Weights'!$F$18+AM41*'[1]Parameter Weights'!$F$19+AN41*'[1]Parameter Weights'!$F$20)*20,IF(COUNT(AC41:AN41)=0,"","Incomplete")),"Check inputs")</f>
        <v>60.000000000000007</v>
      </c>
      <c r="AP41" s="14" t="s">
        <v>2</v>
      </c>
      <c r="AQ41" s="15" t="str">
        <f t="shared" si="1"/>
        <v>No</v>
      </c>
      <c r="AR41" s="15" t="s">
        <v>2</v>
      </c>
      <c r="AS41" s="9" t="str">
        <f t="shared" si="2"/>
        <v>Tier 2</v>
      </c>
      <c r="AT41" s="32" t="str">
        <f t="shared" si="3"/>
        <v>Engineering intervention, validate economics at base oil price</v>
      </c>
      <c r="AU41" s="28" t="s">
        <v>478</v>
      </c>
      <c r="AX41" s="119">
        <f t="shared" ref="AX41:AX67" si="9">AC41+AD41+AE41+AK41+AN41</f>
        <v>14</v>
      </c>
      <c r="AY41" s="119">
        <f t="shared" ref="AY41:AY67" si="10">AG41+AJ41+AH41</f>
        <v>10</v>
      </c>
    </row>
    <row r="42" spans="1:51" s="16" customFormat="1" ht="50.1" customHeight="1" thickBot="1">
      <c r="A42" s="21">
        <v>34</v>
      </c>
      <c r="B42" s="21" t="s">
        <v>479</v>
      </c>
      <c r="C42" s="20" t="s">
        <v>59</v>
      </c>
      <c r="D42" s="20">
        <v>763902.76</v>
      </c>
      <c r="E42" s="20">
        <v>88953.54</v>
      </c>
      <c r="F42" s="21" t="s">
        <v>454</v>
      </c>
      <c r="G42" s="21" t="s">
        <v>182</v>
      </c>
      <c r="H42" s="41" t="s">
        <v>480</v>
      </c>
      <c r="I42" s="23">
        <v>0</v>
      </c>
      <c r="J42" s="20">
        <v>164</v>
      </c>
      <c r="K42" s="23">
        <f t="shared" si="7"/>
        <v>164</v>
      </c>
      <c r="L42" s="20">
        <v>1.4171139359481499</v>
      </c>
      <c r="M42" s="24">
        <v>1.17832486163488</v>
      </c>
      <c r="N42" s="20" t="s">
        <v>63</v>
      </c>
      <c r="O42" s="1" t="s">
        <v>130</v>
      </c>
      <c r="P42" s="70">
        <v>44287</v>
      </c>
      <c r="Q42" s="24">
        <f t="shared" si="8"/>
        <v>5</v>
      </c>
      <c r="R42" s="24">
        <v>3.9</v>
      </c>
      <c r="S42" s="24" t="s">
        <v>481</v>
      </c>
      <c r="T42" s="26">
        <v>99.92</v>
      </c>
      <c r="U42" s="31" t="s">
        <v>482</v>
      </c>
      <c r="V42" s="22" t="s">
        <v>483</v>
      </c>
      <c r="W42" s="22" t="s">
        <v>484</v>
      </c>
      <c r="X42" s="22" t="s">
        <v>485</v>
      </c>
      <c r="Y42" s="22" t="s">
        <v>486</v>
      </c>
      <c r="Z42" s="22" t="s">
        <v>487</v>
      </c>
      <c r="AA42" s="22" t="s">
        <v>488</v>
      </c>
      <c r="AB42" s="22" t="s">
        <v>489</v>
      </c>
      <c r="AC42" s="12">
        <v>2</v>
      </c>
      <c r="AD42" s="6">
        <f t="shared" si="6"/>
        <v>3</v>
      </c>
      <c r="AE42" s="12">
        <v>3</v>
      </c>
      <c r="AF42" s="12">
        <v>1</v>
      </c>
      <c r="AG42" s="12">
        <v>4</v>
      </c>
      <c r="AH42" s="12">
        <v>4</v>
      </c>
      <c r="AI42" s="10">
        <v>3</v>
      </c>
      <c r="AJ42" s="12">
        <v>3</v>
      </c>
      <c r="AK42" s="12">
        <v>2</v>
      </c>
      <c r="AL42" s="12">
        <v>3</v>
      </c>
      <c r="AM42" s="12">
        <v>3</v>
      </c>
      <c r="AN42" s="12">
        <v>4</v>
      </c>
      <c r="AO42" s="13">
        <f>IFERROR(IF(COUNT(AC42:AN42)=12,(AC42*'[1]Parameter Weights'!$F$7+AD42*'[1]Parameter Weights'!$F$9+AE42*'[1]Parameter Weights'!$F$10+AF42*'[1]Parameter Weights'!$F$11+AG42*'[1]Parameter Weights'!$F$12+AH42*'[1]Parameter Weights'!$F$13+AI42*'[1]Parameter Weights'!$F$14+AJ42*'[1]Parameter Weights'!$F$16+AK42*'[1]Parameter Weights'!$F$17+AL42*'[1]Parameter Weights'!$F$18+AM42*'[1]Parameter Weights'!$F$19+AN42*'[1]Parameter Weights'!$F$20)*20,IF(COUNT(AC42:AN42)=0,"","Incomplete")),"Check inputs")</f>
        <v>60</v>
      </c>
      <c r="AP42" s="14" t="s">
        <v>2</v>
      </c>
      <c r="AQ42" s="15" t="str">
        <f t="shared" si="1"/>
        <v>No</v>
      </c>
      <c r="AR42" s="15" t="s">
        <v>2</v>
      </c>
      <c r="AS42" s="9" t="str">
        <f t="shared" si="2"/>
        <v>Tier 2</v>
      </c>
      <c r="AT42" s="32" t="str">
        <f t="shared" si="3"/>
        <v>Engineering intervention, validate economics at base oil price</v>
      </c>
      <c r="AU42" s="28" t="s">
        <v>490</v>
      </c>
      <c r="AX42" s="119">
        <f t="shared" si="9"/>
        <v>14</v>
      </c>
      <c r="AY42" s="119">
        <f t="shared" si="10"/>
        <v>11</v>
      </c>
    </row>
    <row r="43" spans="1:51" ht="50.1" customHeight="1" thickBot="1">
      <c r="A43" s="20">
        <v>35</v>
      </c>
      <c r="B43" s="21" t="s">
        <v>491</v>
      </c>
      <c r="C43" s="20" t="s">
        <v>59</v>
      </c>
      <c r="D43" s="20">
        <v>759807.21</v>
      </c>
      <c r="E43" s="20">
        <v>92846.5</v>
      </c>
      <c r="F43" s="21" t="s">
        <v>454</v>
      </c>
      <c r="G43" s="21" t="s">
        <v>429</v>
      </c>
      <c r="H43" s="41" t="s">
        <v>492</v>
      </c>
      <c r="I43" s="23">
        <v>90</v>
      </c>
      <c r="J43" s="20">
        <v>248</v>
      </c>
      <c r="K43" s="23">
        <f t="shared" si="7"/>
        <v>338</v>
      </c>
      <c r="L43" s="20">
        <v>0.54067693352729795</v>
      </c>
      <c r="M43" s="24">
        <v>0.54067693352729795</v>
      </c>
      <c r="N43" s="20" t="s">
        <v>63</v>
      </c>
      <c r="O43" s="1" t="s">
        <v>130</v>
      </c>
      <c r="P43" s="70">
        <v>44197</v>
      </c>
      <c r="Q43" s="24">
        <f t="shared" si="8"/>
        <v>5</v>
      </c>
      <c r="R43" s="24">
        <v>2</v>
      </c>
      <c r="S43" s="24" t="e">
        <f>VLOOKUP(J43,[2]Assessment!$A$4:$BO$101,19,FALSE)</f>
        <v>#N/A</v>
      </c>
      <c r="T43" s="26">
        <v>99.92</v>
      </c>
      <c r="U43" s="31" t="s">
        <v>493</v>
      </c>
      <c r="V43" s="22" t="s">
        <v>494</v>
      </c>
      <c r="W43" s="22" t="s">
        <v>495</v>
      </c>
      <c r="X43" s="22" t="s">
        <v>496</v>
      </c>
      <c r="Y43" s="22" t="s">
        <v>497</v>
      </c>
      <c r="Z43" s="22" t="s">
        <v>498</v>
      </c>
      <c r="AA43" s="22" t="s">
        <v>499</v>
      </c>
      <c r="AB43" s="22" t="s">
        <v>500</v>
      </c>
      <c r="AC43" s="12">
        <v>1</v>
      </c>
      <c r="AD43" s="6">
        <f t="shared" si="6"/>
        <v>4</v>
      </c>
      <c r="AE43" s="12">
        <v>3</v>
      </c>
      <c r="AF43" s="12">
        <v>1</v>
      </c>
      <c r="AG43" s="12">
        <v>4</v>
      </c>
      <c r="AH43" s="12">
        <v>5</v>
      </c>
      <c r="AI43" s="10">
        <v>3</v>
      </c>
      <c r="AJ43" s="12">
        <v>3</v>
      </c>
      <c r="AK43" s="12">
        <v>1</v>
      </c>
      <c r="AL43" s="12">
        <v>3</v>
      </c>
      <c r="AM43" s="12">
        <v>3</v>
      </c>
      <c r="AN43" s="12">
        <v>3</v>
      </c>
      <c r="AO43" s="13">
        <f>IFERROR(IF(COUNT(AC43:AN43)=12,(AC43*'[1]Parameter Weights'!$F$7+AD43*'[1]Parameter Weights'!$F$9+AE43*'[1]Parameter Weights'!$F$10+AF43*'[1]Parameter Weights'!$F$11+AG43*'[1]Parameter Weights'!$F$12+AH43*'[1]Parameter Weights'!$F$13+AI43*'[1]Parameter Weights'!$F$14+AJ43*'[1]Parameter Weights'!$F$16+AK43*'[1]Parameter Weights'!$F$17+AL43*'[1]Parameter Weights'!$F$18+AM43*'[1]Parameter Weights'!$F$19+AN43*'[1]Parameter Weights'!$F$20)*20,IF(COUNT(AC43:AN43)=0,"","Incomplete")),"Check inputs")</f>
        <v>60</v>
      </c>
      <c r="AP43" s="14" t="s">
        <v>2</v>
      </c>
      <c r="AQ43" s="15" t="str">
        <f t="shared" si="1"/>
        <v>No</v>
      </c>
      <c r="AR43" s="15" t="s">
        <v>2</v>
      </c>
      <c r="AS43" s="9" t="str">
        <f t="shared" si="2"/>
        <v>Tier 2</v>
      </c>
      <c r="AT43" s="32" t="str">
        <f t="shared" si="3"/>
        <v>Engineering intervention, validate economics at base oil price</v>
      </c>
      <c r="AU43" s="28" t="s">
        <v>501</v>
      </c>
      <c r="AX43" s="3">
        <f t="shared" si="9"/>
        <v>12</v>
      </c>
      <c r="AY43" s="3">
        <f t="shared" si="10"/>
        <v>12</v>
      </c>
    </row>
    <row r="44" spans="1:51" ht="50.1" customHeight="1" thickBot="1">
      <c r="A44" s="20">
        <v>36</v>
      </c>
      <c r="B44" s="21" t="s">
        <v>502</v>
      </c>
      <c r="C44" s="20" t="s">
        <v>59</v>
      </c>
      <c r="D44" s="20">
        <v>765244.69</v>
      </c>
      <c r="E44" s="20">
        <v>89745.52</v>
      </c>
      <c r="F44" s="21" t="s">
        <v>454</v>
      </c>
      <c r="G44" s="21" t="s">
        <v>503</v>
      </c>
      <c r="H44" s="41" t="s">
        <v>504</v>
      </c>
      <c r="I44" s="23">
        <v>120</v>
      </c>
      <c r="J44" s="20">
        <v>372</v>
      </c>
      <c r="K44" s="23">
        <f t="shared" si="7"/>
        <v>492</v>
      </c>
      <c r="L44" s="20">
        <v>0.37523670163672102</v>
      </c>
      <c r="M44" s="24">
        <v>0.37523670163672102</v>
      </c>
      <c r="N44" s="20" t="s">
        <v>63</v>
      </c>
      <c r="O44" s="1" t="s">
        <v>130</v>
      </c>
      <c r="P44" s="70">
        <v>43221</v>
      </c>
      <c r="Q44" s="24">
        <f t="shared" si="8"/>
        <v>8</v>
      </c>
      <c r="R44" s="24">
        <v>5.3</v>
      </c>
      <c r="S44" s="24" t="e">
        <f>VLOOKUP(J44,[2]Assessment!$A$4:$BO$101,19,FALSE)</f>
        <v>#N/A</v>
      </c>
      <c r="T44" s="26">
        <v>99.9</v>
      </c>
      <c r="U44" s="31" t="s">
        <v>505</v>
      </c>
      <c r="V44" s="22" t="s">
        <v>506</v>
      </c>
      <c r="W44" s="22" t="s">
        <v>507</v>
      </c>
      <c r="X44" s="22" t="s">
        <v>508</v>
      </c>
      <c r="Y44" s="22" t="s">
        <v>509</v>
      </c>
      <c r="Z44" s="22" t="s">
        <v>510</v>
      </c>
      <c r="AA44" s="22" t="s">
        <v>511</v>
      </c>
      <c r="AB44" s="22" t="s">
        <v>512</v>
      </c>
      <c r="AC44" s="12">
        <v>2</v>
      </c>
      <c r="AD44" s="6">
        <f t="shared" si="6"/>
        <v>4</v>
      </c>
      <c r="AE44" s="12">
        <v>2</v>
      </c>
      <c r="AF44" s="12">
        <v>1</v>
      </c>
      <c r="AG44" s="12">
        <v>3</v>
      </c>
      <c r="AH44" s="12">
        <v>5</v>
      </c>
      <c r="AI44" s="10">
        <v>3</v>
      </c>
      <c r="AJ44" s="12">
        <v>3</v>
      </c>
      <c r="AK44" s="12">
        <v>2</v>
      </c>
      <c r="AL44" s="12">
        <v>3</v>
      </c>
      <c r="AM44" s="12">
        <v>3</v>
      </c>
      <c r="AN44" s="12">
        <v>3</v>
      </c>
      <c r="AO44" s="13">
        <f>IFERROR(IF(COUNT(AC44:AN44)=12,(AC44*'[1]Parameter Weights'!$F$7+AD44*'[1]Parameter Weights'!$F$9+AE44*'[1]Parameter Weights'!$F$10+AF44*'[1]Parameter Weights'!$F$11+AG44*'[1]Parameter Weights'!$F$12+AH44*'[1]Parameter Weights'!$F$13+AI44*'[1]Parameter Weights'!$F$14+AJ44*'[1]Parameter Weights'!$F$16+AK44*'[1]Parameter Weights'!$F$17+AL44*'[1]Parameter Weights'!$F$18+AM44*'[1]Parameter Weights'!$F$19+AN44*'[1]Parameter Weights'!$F$20)*20,IF(COUNT(AC44:AN44)=0,"","Incomplete")),"Check inputs")</f>
        <v>59.999999999999993</v>
      </c>
      <c r="AP44" s="14" t="s">
        <v>2</v>
      </c>
      <c r="AQ44" s="15" t="str">
        <f t="shared" si="1"/>
        <v>No</v>
      </c>
      <c r="AR44" s="15" t="s">
        <v>2</v>
      </c>
      <c r="AS44" s="9" t="str">
        <f t="shared" si="2"/>
        <v>Tier 2</v>
      </c>
      <c r="AT44" s="32" t="str">
        <f t="shared" si="3"/>
        <v>Engineering intervention, validate economics at base oil price</v>
      </c>
      <c r="AU44" s="28" t="s">
        <v>513</v>
      </c>
      <c r="AX44" s="3">
        <f t="shared" si="9"/>
        <v>13</v>
      </c>
      <c r="AY44" s="3">
        <f t="shared" si="10"/>
        <v>11</v>
      </c>
    </row>
    <row r="45" spans="1:51" ht="50.1" customHeight="1" thickBot="1">
      <c r="A45" s="20">
        <v>37</v>
      </c>
      <c r="B45" s="21" t="s">
        <v>514</v>
      </c>
      <c r="C45" s="20" t="s">
        <v>59</v>
      </c>
      <c r="D45" s="20">
        <v>762432.17</v>
      </c>
      <c r="E45" s="20">
        <v>92907.46</v>
      </c>
      <c r="F45" s="21" t="s">
        <v>454</v>
      </c>
      <c r="G45" s="21" t="s">
        <v>515</v>
      </c>
      <c r="H45" s="41" t="s">
        <v>516</v>
      </c>
      <c r="I45" s="23">
        <v>0</v>
      </c>
      <c r="J45" s="20">
        <v>38</v>
      </c>
      <c r="K45" s="23">
        <f t="shared" si="7"/>
        <v>38</v>
      </c>
      <c r="L45" s="20" t="e">
        <v>#N/A</v>
      </c>
      <c r="M45" s="24" t="e">
        <v>#N/A</v>
      </c>
      <c r="N45" s="20" t="s">
        <v>63</v>
      </c>
      <c r="O45" s="1" t="s">
        <v>130</v>
      </c>
      <c r="P45" s="70">
        <v>42795</v>
      </c>
      <c r="Q45" s="24">
        <f t="shared" si="8"/>
        <v>9</v>
      </c>
      <c r="R45" s="24">
        <v>9.9</v>
      </c>
      <c r="S45" s="24" t="e">
        <f>VLOOKUP(J45,[2]Assessment!$A$4:$BO$101,19,FALSE)</f>
        <v>#N/A</v>
      </c>
      <c r="T45" s="26">
        <v>99</v>
      </c>
      <c r="U45" s="31" t="s">
        <v>517</v>
      </c>
      <c r="V45" s="22" t="s">
        <v>518</v>
      </c>
      <c r="W45" s="22" t="s">
        <v>519</v>
      </c>
      <c r="X45" s="22" t="s">
        <v>520</v>
      </c>
      <c r="Y45" s="22" t="s">
        <v>521</v>
      </c>
      <c r="Z45" s="22" t="s">
        <v>522</v>
      </c>
      <c r="AA45" s="22" t="s">
        <v>523</v>
      </c>
      <c r="AB45" s="22" t="s">
        <v>524</v>
      </c>
      <c r="AC45" s="12">
        <v>1</v>
      </c>
      <c r="AD45" s="6">
        <f t="shared" si="6"/>
        <v>1</v>
      </c>
      <c r="AE45" s="12">
        <v>2</v>
      </c>
      <c r="AF45" s="12">
        <v>1</v>
      </c>
      <c r="AG45" s="12">
        <v>3</v>
      </c>
      <c r="AH45" s="12">
        <v>5</v>
      </c>
      <c r="AI45" s="12">
        <v>3</v>
      </c>
      <c r="AJ45" s="12">
        <v>3</v>
      </c>
      <c r="AK45" s="12">
        <v>1</v>
      </c>
      <c r="AL45" s="12">
        <v>3</v>
      </c>
      <c r="AM45" s="12">
        <v>2</v>
      </c>
      <c r="AN45" s="12">
        <v>1</v>
      </c>
      <c r="AO45" s="13">
        <f>IFERROR(IF(COUNT(AC45:AN45)=12,(AC45*'[1]Parameter Weights'!$F$7+AD45*'[1]Parameter Weights'!$F$9+AE45*'[1]Parameter Weights'!$F$10+AF45*'[1]Parameter Weights'!$F$11+AG45*'[1]Parameter Weights'!$F$12+AH45*'[1]Parameter Weights'!$F$13+AI45*'[1]Parameter Weights'!$F$14+AJ45*'[1]Parameter Weights'!$F$16+AK45*'[1]Parameter Weights'!$F$17+AL45*'[1]Parameter Weights'!$F$18+AM45*'[1]Parameter Weights'!$F$19+AN45*'[1]Parameter Weights'!$F$20)*20,IF(COUNT(AC45:AN45)=0,"","Incomplete")),"Check inputs")</f>
        <v>44</v>
      </c>
      <c r="AP45" s="14" t="s">
        <v>2</v>
      </c>
      <c r="AQ45" s="15" t="str">
        <f t="shared" si="1"/>
        <v>No</v>
      </c>
      <c r="AR45" s="15" t="s">
        <v>2</v>
      </c>
      <c r="AS45" s="9" t="str">
        <f t="shared" si="2"/>
        <v>Tier 3</v>
      </c>
      <c r="AT45" s="32" t="str">
        <f t="shared" si="3"/>
        <v>Major workover, execute after Tier 1 and 2 validate economics</v>
      </c>
      <c r="AU45" s="28" t="s">
        <v>525</v>
      </c>
      <c r="AX45" s="119">
        <f t="shared" si="9"/>
        <v>6</v>
      </c>
      <c r="AY45" s="119">
        <f t="shared" si="10"/>
        <v>11</v>
      </c>
    </row>
    <row r="46" spans="1:51" ht="50.1" customHeight="1" thickBot="1">
      <c r="A46" s="20">
        <v>38</v>
      </c>
      <c r="B46" s="21" t="s">
        <v>526</v>
      </c>
      <c r="C46" s="20" t="s">
        <v>59</v>
      </c>
      <c r="D46" s="20">
        <v>746625.75</v>
      </c>
      <c r="E46" s="20">
        <v>105450.89</v>
      </c>
      <c r="F46" s="21" t="s">
        <v>527</v>
      </c>
      <c r="G46" s="21" t="s">
        <v>528</v>
      </c>
      <c r="H46" s="41" t="s">
        <v>529</v>
      </c>
      <c r="I46" s="23">
        <v>775</v>
      </c>
      <c r="J46" s="20">
        <v>427</v>
      </c>
      <c r="K46" s="23">
        <f t="shared" si="7"/>
        <v>1202</v>
      </c>
      <c r="L46" s="20">
        <v>4.16746253624824</v>
      </c>
      <c r="M46" s="24">
        <v>0.5</v>
      </c>
      <c r="N46" s="20" t="s">
        <v>63</v>
      </c>
      <c r="O46" s="1" t="s">
        <v>64</v>
      </c>
      <c r="P46" s="70">
        <v>40544</v>
      </c>
      <c r="Q46" s="24">
        <f t="shared" si="8"/>
        <v>15</v>
      </c>
      <c r="R46" s="24" t="e">
        <f>VLOOKUP(I46,[2]Assessment!$A$4:$BO$101,19,FALSE)</f>
        <v>#N/A</v>
      </c>
      <c r="S46" s="24" t="e">
        <f>VLOOKUP(J46,[2]Assessment!$A$4:$BO$101,19,FALSE)</f>
        <v>#N/A</v>
      </c>
      <c r="T46" s="20" t="e">
        <f>VLOOKUP(N46,[2]Assessment!$A$4:$BO$101,19,FALSE)</f>
        <v>#N/A</v>
      </c>
      <c r="U46" s="30" t="e">
        <f>VLOOKUP(P46,[2]Assessment!$A$4:$BO$101,19,FALSE)</f>
        <v>#N/A</v>
      </c>
      <c r="V46" s="22" t="s">
        <v>530</v>
      </c>
      <c r="W46" s="22" t="s">
        <v>76</v>
      </c>
      <c r="X46" s="22" t="s">
        <v>531</v>
      </c>
      <c r="Y46" s="22" t="s">
        <v>532</v>
      </c>
      <c r="Z46" s="22" t="s">
        <v>533</v>
      </c>
      <c r="AA46" s="22" t="s">
        <v>534</v>
      </c>
      <c r="AB46" s="22" t="s">
        <v>535</v>
      </c>
      <c r="AC46" s="12">
        <v>2</v>
      </c>
      <c r="AD46" s="6">
        <f t="shared" si="6"/>
        <v>5</v>
      </c>
      <c r="AE46" s="12">
        <v>2</v>
      </c>
      <c r="AF46" s="12">
        <v>2</v>
      </c>
      <c r="AG46" s="12">
        <v>3</v>
      </c>
      <c r="AH46" s="12">
        <v>3</v>
      </c>
      <c r="AI46" s="12">
        <v>4</v>
      </c>
      <c r="AJ46" s="12">
        <v>3</v>
      </c>
      <c r="AK46" s="12">
        <v>2</v>
      </c>
      <c r="AL46" s="12">
        <v>2</v>
      </c>
      <c r="AM46" s="12">
        <v>2</v>
      </c>
      <c r="AN46" s="12">
        <v>2</v>
      </c>
      <c r="AO46" s="13">
        <f>IFERROR(IF(COUNT(AC46:AN46)=12,(AC46*'[1]Parameter Weights'!$F$7+AD46*'[1]Parameter Weights'!$F$9+AE46*'[1]Parameter Weights'!$F$10+AF46*'[1]Parameter Weights'!$F$11+AG46*'[1]Parameter Weights'!$F$12+AH46*'[1]Parameter Weights'!$F$13+AI46*'[1]Parameter Weights'!$F$14+AJ46*'[1]Parameter Weights'!$F$16+AK46*'[1]Parameter Weights'!$F$17+AL46*'[1]Parameter Weights'!$F$18+AM46*'[1]Parameter Weights'!$F$19+AN46*'[1]Parameter Weights'!$F$20)*20,IF(COUNT(AC46:AN46)=0,"","Incomplete")),"Check inputs")</f>
        <v>58.000000000000014</v>
      </c>
      <c r="AP46" s="14" t="s">
        <v>2</v>
      </c>
      <c r="AQ46" s="15" t="str">
        <f t="shared" si="1"/>
        <v>No</v>
      </c>
      <c r="AR46" s="15" t="s">
        <v>2</v>
      </c>
      <c r="AS46" s="9" t="str">
        <f t="shared" si="2"/>
        <v>Tier 2</v>
      </c>
      <c r="AT46" s="32" t="str">
        <f t="shared" si="3"/>
        <v>Engineering intervention, validate economics at base oil price</v>
      </c>
      <c r="AU46" s="28" t="s">
        <v>536</v>
      </c>
      <c r="AX46" s="3">
        <f t="shared" si="9"/>
        <v>13</v>
      </c>
      <c r="AY46" s="3">
        <f t="shared" si="10"/>
        <v>9</v>
      </c>
    </row>
    <row r="47" spans="1:51" ht="50.1" customHeight="1" thickBot="1">
      <c r="A47" s="20">
        <v>39</v>
      </c>
      <c r="B47" s="21" t="s">
        <v>537</v>
      </c>
      <c r="C47" s="20" t="s">
        <v>59</v>
      </c>
      <c r="D47" s="20">
        <v>721428.2</v>
      </c>
      <c r="E47" s="20">
        <v>167100.4</v>
      </c>
      <c r="F47" s="21" t="s">
        <v>538</v>
      </c>
      <c r="G47" s="21" t="s">
        <v>539</v>
      </c>
      <c r="H47" s="41" t="s">
        <v>540</v>
      </c>
      <c r="I47" s="23">
        <v>0</v>
      </c>
      <c r="J47" s="20">
        <v>932</v>
      </c>
      <c r="K47" s="23">
        <f t="shared" si="7"/>
        <v>932</v>
      </c>
      <c r="L47" s="20">
        <v>3.1028121184200499</v>
      </c>
      <c r="M47" s="24">
        <v>2.61946599345853</v>
      </c>
      <c r="N47" s="20" t="s">
        <v>63</v>
      </c>
      <c r="O47" s="1" t="s">
        <v>64</v>
      </c>
      <c r="P47" s="70">
        <v>37165</v>
      </c>
      <c r="Q47" s="24">
        <f t="shared" si="8"/>
        <v>25</v>
      </c>
      <c r="R47" s="24">
        <v>0</v>
      </c>
      <c r="S47" s="24" t="e">
        <f>VLOOKUP(J47,[2]Assessment!$A$4:$BO$101,19,FALSE)</f>
        <v>#N/A</v>
      </c>
      <c r="T47" s="26">
        <v>99.4</v>
      </c>
      <c r="U47" s="30" t="e">
        <f>VLOOKUP(P47,[2]Assessment!$A$4:$BO$101,19,FALSE)</f>
        <v>#N/A</v>
      </c>
      <c r="V47" s="22" t="s">
        <v>541</v>
      </c>
      <c r="W47" s="22" t="s">
        <v>542</v>
      </c>
      <c r="X47" s="22" t="s">
        <v>543</v>
      </c>
      <c r="Y47" s="22" t="s">
        <v>544</v>
      </c>
      <c r="Z47" s="22" t="s">
        <v>545</v>
      </c>
      <c r="AA47" s="22" t="s">
        <v>546</v>
      </c>
      <c r="AB47" s="22" t="s">
        <v>547</v>
      </c>
      <c r="AC47" s="12">
        <v>1</v>
      </c>
      <c r="AD47" s="6">
        <f t="shared" si="6"/>
        <v>5</v>
      </c>
      <c r="AE47" s="12">
        <v>2</v>
      </c>
      <c r="AF47" s="12">
        <v>1</v>
      </c>
      <c r="AG47" s="12">
        <v>2</v>
      </c>
      <c r="AH47" s="12">
        <v>3</v>
      </c>
      <c r="AI47" s="10">
        <v>3</v>
      </c>
      <c r="AJ47" s="12">
        <v>2</v>
      </c>
      <c r="AK47" s="12">
        <v>2</v>
      </c>
      <c r="AL47" s="12">
        <v>2</v>
      </c>
      <c r="AM47" s="12">
        <v>3</v>
      </c>
      <c r="AN47" s="12">
        <v>2</v>
      </c>
      <c r="AO47" s="13">
        <f>IFERROR(IF(COUNT(AC47:AN47)=12,(AC47*'[1]Parameter Weights'!$F$7+AD47*'[1]Parameter Weights'!$F$9+AE47*'[1]Parameter Weights'!$F$10+AF47*'[1]Parameter Weights'!$F$11+AG47*'[1]Parameter Weights'!$F$12+AH47*'[1]Parameter Weights'!$F$13+AI47*'[1]Parameter Weights'!$F$14+AJ47*'[1]Parameter Weights'!$F$16+AK47*'[1]Parameter Weights'!$F$17+AL47*'[1]Parameter Weights'!$F$18+AM47*'[1]Parameter Weights'!$F$19+AN47*'[1]Parameter Weights'!$F$20)*20,IF(COUNT(AC47:AN47)=0,"","Incomplete")),"Check inputs")</f>
        <v>50</v>
      </c>
      <c r="AP47" s="14" t="s">
        <v>2</v>
      </c>
      <c r="AQ47" s="15" t="str">
        <f t="shared" si="1"/>
        <v>No</v>
      </c>
      <c r="AR47" s="15" t="s">
        <v>2</v>
      </c>
      <c r="AS47" s="9" t="str">
        <f t="shared" si="2"/>
        <v>Tier 3</v>
      </c>
      <c r="AT47" s="32" t="str">
        <f t="shared" si="3"/>
        <v>Major workover, execute after Tier 1 and 2 validate economics</v>
      </c>
      <c r="AU47" s="28" t="s">
        <v>548</v>
      </c>
      <c r="AX47" s="3">
        <f t="shared" si="9"/>
        <v>12</v>
      </c>
      <c r="AY47" s="3">
        <f t="shared" si="10"/>
        <v>7</v>
      </c>
    </row>
    <row r="48" spans="1:51" ht="50.1" customHeight="1" thickBot="1">
      <c r="A48" s="20">
        <v>40</v>
      </c>
      <c r="B48" s="21" t="s">
        <v>549</v>
      </c>
      <c r="C48" s="20" t="s">
        <v>59</v>
      </c>
      <c r="D48" s="20">
        <v>722043.3</v>
      </c>
      <c r="E48" s="20">
        <v>165448.01</v>
      </c>
      <c r="F48" s="21" t="s">
        <v>538</v>
      </c>
      <c r="G48" s="21" t="s">
        <v>550</v>
      </c>
      <c r="H48" s="41" t="s">
        <v>540</v>
      </c>
      <c r="I48" s="23">
        <v>0</v>
      </c>
      <c r="J48" s="20">
        <v>694</v>
      </c>
      <c r="K48" s="23">
        <f t="shared" si="7"/>
        <v>694</v>
      </c>
      <c r="L48" s="20">
        <v>5.10604921891548</v>
      </c>
      <c r="M48" s="24">
        <v>5.10604921891548</v>
      </c>
      <c r="N48" s="20" t="s">
        <v>63</v>
      </c>
      <c r="O48" s="1" t="s">
        <v>64</v>
      </c>
      <c r="P48" s="70">
        <v>30110</v>
      </c>
      <c r="Q48" s="24">
        <f t="shared" si="8"/>
        <v>44</v>
      </c>
      <c r="R48" s="24">
        <v>28</v>
      </c>
      <c r="S48" s="24" t="e">
        <f>VLOOKUP(J48,[2]Assessment!$A$4:$BO$101,19,FALSE)</f>
        <v>#N/A</v>
      </c>
      <c r="T48" s="26">
        <v>99</v>
      </c>
      <c r="U48" s="30" t="e">
        <f>VLOOKUP(P48,[2]Assessment!$A$4:$BO$101,19,FALSE)</f>
        <v>#N/A</v>
      </c>
      <c r="V48" s="22" t="s">
        <v>551</v>
      </c>
      <c r="W48" s="22" t="s">
        <v>552</v>
      </c>
      <c r="X48" s="22" t="s">
        <v>553</v>
      </c>
      <c r="Y48" s="22" t="s">
        <v>554</v>
      </c>
      <c r="Z48" s="22" t="s">
        <v>545</v>
      </c>
      <c r="AA48" s="22" t="s">
        <v>546</v>
      </c>
      <c r="AB48" s="22" t="s">
        <v>555</v>
      </c>
      <c r="AC48" s="12">
        <v>2</v>
      </c>
      <c r="AD48" s="6">
        <f t="shared" si="6"/>
        <v>5</v>
      </c>
      <c r="AE48" s="12">
        <v>2</v>
      </c>
      <c r="AF48" s="12">
        <v>1</v>
      </c>
      <c r="AG48" s="12">
        <v>2</v>
      </c>
      <c r="AH48" s="12">
        <v>2</v>
      </c>
      <c r="AI48" s="10">
        <v>3</v>
      </c>
      <c r="AJ48" s="12">
        <v>3</v>
      </c>
      <c r="AK48" s="12">
        <v>1</v>
      </c>
      <c r="AL48" s="12">
        <v>2</v>
      </c>
      <c r="AM48" s="12">
        <v>2</v>
      </c>
      <c r="AN48" s="12">
        <v>2</v>
      </c>
      <c r="AO48" s="13">
        <f>IFERROR(IF(COUNT(AC48:AN48)=12,(AC48*'[1]Parameter Weights'!$F$7+AD48*'[1]Parameter Weights'!$F$9+AE48*'[1]Parameter Weights'!$F$10+AF48*'[1]Parameter Weights'!$F$11+AG48*'[1]Parameter Weights'!$F$12+AH48*'[1]Parameter Weights'!$F$13+AI48*'[1]Parameter Weights'!$F$14+AJ48*'[1]Parameter Weights'!$F$16+AK48*'[1]Parameter Weights'!$F$17+AL48*'[1]Parameter Weights'!$F$18+AM48*'[1]Parameter Weights'!$F$19+AN48*'[1]Parameter Weights'!$F$20)*20,IF(COUNT(AC48:AN48)=0,"","Incomplete")),"Check inputs")</f>
        <v>49</v>
      </c>
      <c r="AP48" s="14" t="s">
        <v>2</v>
      </c>
      <c r="AQ48" s="15" t="str">
        <f t="shared" si="1"/>
        <v>No</v>
      </c>
      <c r="AR48" s="15" t="s">
        <v>2</v>
      </c>
      <c r="AS48" s="9" t="str">
        <f t="shared" si="2"/>
        <v>Tier 3</v>
      </c>
      <c r="AT48" s="32" t="str">
        <f t="shared" si="3"/>
        <v>Major workover, execute after Tier 1 and 2 validate economics</v>
      </c>
      <c r="AU48" s="28" t="s">
        <v>556</v>
      </c>
      <c r="AX48" s="3">
        <f t="shared" si="9"/>
        <v>12</v>
      </c>
      <c r="AY48" s="3">
        <f t="shared" si="10"/>
        <v>7</v>
      </c>
    </row>
    <row r="49" spans="1:51" ht="66" customHeight="1" thickBot="1">
      <c r="A49" s="20">
        <v>41</v>
      </c>
      <c r="B49" s="21" t="s">
        <v>557</v>
      </c>
      <c r="C49" s="20" t="s">
        <v>59</v>
      </c>
      <c r="D49" s="20">
        <v>736770.02</v>
      </c>
      <c r="E49" s="20">
        <v>133022.13</v>
      </c>
      <c r="F49" s="21" t="s">
        <v>558</v>
      </c>
      <c r="G49" s="21" t="s">
        <v>559</v>
      </c>
      <c r="H49" s="41" t="s">
        <v>560</v>
      </c>
      <c r="I49" s="23">
        <v>464</v>
      </c>
      <c r="J49" s="20">
        <v>0</v>
      </c>
      <c r="K49" s="23">
        <f t="shared" si="7"/>
        <v>464</v>
      </c>
      <c r="L49" s="20" t="e">
        <v>#N/A</v>
      </c>
      <c r="M49" s="24" t="e">
        <v>#N/A</v>
      </c>
      <c r="N49" s="20" t="s">
        <v>63</v>
      </c>
      <c r="O49" s="1" t="s">
        <v>64</v>
      </c>
      <c r="P49" s="70">
        <v>33147</v>
      </c>
      <c r="Q49" s="24">
        <f t="shared" si="8"/>
        <v>36</v>
      </c>
      <c r="R49" s="24">
        <v>6</v>
      </c>
      <c r="S49" s="24" t="s">
        <v>561</v>
      </c>
      <c r="T49" s="26">
        <v>98</v>
      </c>
      <c r="U49" s="31" t="s">
        <v>562</v>
      </c>
      <c r="V49" s="22" t="s">
        <v>563</v>
      </c>
      <c r="W49" s="22" t="s">
        <v>564</v>
      </c>
      <c r="X49" s="22" t="s">
        <v>565</v>
      </c>
      <c r="Y49" s="22" t="s">
        <v>566</v>
      </c>
      <c r="Z49" s="22" t="s">
        <v>567</v>
      </c>
      <c r="AA49" s="22" t="s">
        <v>568</v>
      </c>
      <c r="AB49" s="22" t="s">
        <v>569</v>
      </c>
      <c r="AC49" s="12">
        <v>2</v>
      </c>
      <c r="AD49" s="6">
        <f t="shared" si="6"/>
        <v>4</v>
      </c>
      <c r="AE49" s="12">
        <v>2</v>
      </c>
      <c r="AF49" s="12">
        <v>1</v>
      </c>
      <c r="AG49" s="12">
        <v>2</v>
      </c>
      <c r="AH49" s="12">
        <v>2</v>
      </c>
      <c r="AI49" s="10">
        <v>3</v>
      </c>
      <c r="AJ49" s="12">
        <v>2</v>
      </c>
      <c r="AK49" s="12">
        <v>2</v>
      </c>
      <c r="AL49" s="12">
        <v>2</v>
      </c>
      <c r="AM49" s="12">
        <v>2</v>
      </c>
      <c r="AN49" s="12">
        <v>3</v>
      </c>
      <c r="AO49" s="13">
        <f>IFERROR(IF(COUNT(AC49:AN49)=12,(AC49*'[1]Parameter Weights'!$F$7+AD49*'[1]Parameter Weights'!$F$9+AE49*'[1]Parameter Weights'!$F$10+AF49*'[1]Parameter Weights'!$F$11+AG49*'[1]Parameter Weights'!$F$12+AH49*'[1]Parameter Weights'!$F$13+AI49*'[1]Parameter Weights'!$F$14+AJ49*'[1]Parameter Weights'!$F$16+AK49*'[1]Parameter Weights'!$F$17+AL49*'[1]Parameter Weights'!$F$18+AM49*'[1]Parameter Weights'!$F$19+AN49*'[1]Parameter Weights'!$F$20)*20,IF(COUNT(AC49:AN49)=0,"","Incomplete")),"Check inputs")</f>
        <v>47</v>
      </c>
      <c r="AP49" s="14" t="s">
        <v>2</v>
      </c>
      <c r="AQ49" s="15" t="str">
        <f t="shared" si="1"/>
        <v>No</v>
      </c>
      <c r="AR49" s="15" t="s">
        <v>2</v>
      </c>
      <c r="AS49" s="9" t="str">
        <f t="shared" si="2"/>
        <v>Tier 3</v>
      </c>
      <c r="AT49" s="32" t="str">
        <f t="shared" si="3"/>
        <v>Major workover, execute after Tier 1 and 2 validate economics</v>
      </c>
      <c r="AU49" s="28" t="s">
        <v>570</v>
      </c>
      <c r="AX49" s="3">
        <f t="shared" si="9"/>
        <v>13</v>
      </c>
      <c r="AY49" s="3">
        <f t="shared" si="10"/>
        <v>6</v>
      </c>
    </row>
    <row r="50" spans="1:51" ht="50.1" customHeight="1" thickBot="1">
      <c r="A50" s="20">
        <v>42</v>
      </c>
      <c r="B50" s="21" t="s">
        <v>571</v>
      </c>
      <c r="C50" s="20" t="s">
        <v>59</v>
      </c>
      <c r="D50" s="20">
        <v>735980.48</v>
      </c>
      <c r="E50" s="20">
        <v>133848.07</v>
      </c>
      <c r="F50" s="21" t="s">
        <v>558</v>
      </c>
      <c r="G50" s="21" t="s">
        <v>572</v>
      </c>
      <c r="H50" s="41" t="s">
        <v>573</v>
      </c>
      <c r="I50" s="23">
        <v>0</v>
      </c>
      <c r="J50" s="20">
        <v>0</v>
      </c>
      <c r="K50" s="23">
        <f t="shared" si="7"/>
        <v>0</v>
      </c>
      <c r="L50" s="20">
        <v>4.3924411195243998E-2</v>
      </c>
      <c r="M50" s="24">
        <v>4.3924411195243998E-2</v>
      </c>
      <c r="N50" s="20" t="s">
        <v>63</v>
      </c>
      <c r="O50" s="1" t="s">
        <v>64</v>
      </c>
      <c r="P50" s="70">
        <v>26908</v>
      </c>
      <c r="Q50" s="24">
        <f t="shared" si="8"/>
        <v>53</v>
      </c>
      <c r="R50" s="24">
        <v>31</v>
      </c>
      <c r="S50" s="24" t="s">
        <v>574</v>
      </c>
      <c r="T50" s="26">
        <v>98</v>
      </c>
      <c r="U50" s="31" t="s">
        <v>575</v>
      </c>
      <c r="V50" s="22" t="s">
        <v>576</v>
      </c>
      <c r="W50" s="22" t="s">
        <v>577</v>
      </c>
      <c r="X50" s="22" t="s">
        <v>578</v>
      </c>
      <c r="Y50" s="22" t="s">
        <v>579</v>
      </c>
      <c r="Z50" s="22" t="s">
        <v>580</v>
      </c>
      <c r="AA50" s="22" t="s">
        <v>581</v>
      </c>
      <c r="AB50" s="22" t="s">
        <v>582</v>
      </c>
      <c r="AC50" s="12">
        <v>1</v>
      </c>
      <c r="AD50" s="6">
        <f t="shared" si="6"/>
        <v>1</v>
      </c>
      <c r="AE50" s="12">
        <v>1</v>
      </c>
      <c r="AF50" s="12">
        <v>1</v>
      </c>
      <c r="AG50" s="12">
        <v>2</v>
      </c>
      <c r="AH50" s="12">
        <v>3</v>
      </c>
      <c r="AI50" s="10">
        <v>3</v>
      </c>
      <c r="AJ50" s="12">
        <v>2</v>
      </c>
      <c r="AK50" s="12">
        <v>1</v>
      </c>
      <c r="AL50" s="12">
        <v>3</v>
      </c>
      <c r="AM50" s="12">
        <v>2</v>
      </c>
      <c r="AN50" s="12">
        <v>2</v>
      </c>
      <c r="AO50" s="13">
        <f>IFERROR(IF(COUNT(AC50:AN50)=12,(AC50*'[1]Parameter Weights'!$F$7+AD50*'[1]Parameter Weights'!$F$9+AE50*'[1]Parameter Weights'!$F$10+AF50*'[1]Parameter Weights'!$F$11+AG50*'[1]Parameter Weights'!$F$12+AH50*'[1]Parameter Weights'!$F$13+AI50*'[1]Parameter Weights'!$F$14+AJ50*'[1]Parameter Weights'!$F$16+AK50*'[1]Parameter Weights'!$F$17+AL50*'[1]Parameter Weights'!$F$18+AM50*'[1]Parameter Weights'!$F$19+AN50*'[1]Parameter Weights'!$F$20)*20,IF(COUNT(AC50:AN50)=0,"","Incomplete")),"Check inputs")</f>
        <v>35.000000000000007</v>
      </c>
      <c r="AP50" s="14" t="s">
        <v>2</v>
      </c>
      <c r="AQ50" s="15" t="str">
        <f t="shared" si="1"/>
        <v>No</v>
      </c>
      <c r="AR50" s="15" t="s">
        <v>2</v>
      </c>
      <c r="AS50" s="9" t="str">
        <f t="shared" si="2"/>
        <v>Tier 3</v>
      </c>
      <c r="AT50" s="32" t="str">
        <f t="shared" si="3"/>
        <v>Major workover, execute after Tier 1 and 2 validate economics</v>
      </c>
      <c r="AU50" s="28" t="s">
        <v>583</v>
      </c>
      <c r="AX50" s="3">
        <f t="shared" si="9"/>
        <v>6</v>
      </c>
      <c r="AY50" s="3">
        <f t="shared" si="10"/>
        <v>7</v>
      </c>
    </row>
    <row r="51" spans="1:51" ht="50.1" customHeight="1" thickBot="1">
      <c r="A51" s="20">
        <v>43</v>
      </c>
      <c r="B51" s="21" t="s">
        <v>584</v>
      </c>
      <c r="C51" s="20" t="s">
        <v>59</v>
      </c>
      <c r="D51" s="20">
        <v>736916.41</v>
      </c>
      <c r="E51" s="20">
        <v>132173.88</v>
      </c>
      <c r="F51" s="21" t="s">
        <v>558</v>
      </c>
      <c r="G51" s="21" t="s">
        <v>585</v>
      </c>
      <c r="H51" s="41" t="s">
        <v>586</v>
      </c>
      <c r="I51" s="23">
        <v>0</v>
      </c>
      <c r="J51" s="20">
        <v>206</v>
      </c>
      <c r="K51" s="23">
        <f t="shared" si="7"/>
        <v>206</v>
      </c>
      <c r="L51" s="20">
        <v>0.43319017631765699</v>
      </c>
      <c r="M51" s="24">
        <v>0.23828378503049499</v>
      </c>
      <c r="N51" s="20" t="s">
        <v>63</v>
      </c>
      <c r="O51" s="1" t="s">
        <v>64</v>
      </c>
      <c r="P51" s="70">
        <v>42552</v>
      </c>
      <c r="Q51" s="24">
        <f t="shared" si="8"/>
        <v>10</v>
      </c>
      <c r="R51" s="24">
        <v>2.2000000000000002</v>
      </c>
      <c r="S51" s="24" t="e">
        <f>VLOOKUP(J51,[2]Assessment!$A$4:$BO$101,19,FALSE)</f>
        <v>#N/A</v>
      </c>
      <c r="T51" s="26">
        <v>99.8</v>
      </c>
      <c r="U51" s="31" t="s">
        <v>587</v>
      </c>
      <c r="V51" s="22" t="s">
        <v>588</v>
      </c>
      <c r="W51" s="22" t="s">
        <v>589</v>
      </c>
      <c r="X51" s="22" t="s">
        <v>590</v>
      </c>
      <c r="Y51" s="22" t="s">
        <v>591</v>
      </c>
      <c r="Z51" s="22" t="s">
        <v>592</v>
      </c>
      <c r="AA51" s="22" t="s">
        <v>593</v>
      </c>
      <c r="AB51" s="22" t="s">
        <v>594</v>
      </c>
      <c r="AC51" s="12">
        <v>1</v>
      </c>
      <c r="AD51" s="6">
        <f t="shared" si="6"/>
        <v>3</v>
      </c>
      <c r="AE51" s="12">
        <v>2</v>
      </c>
      <c r="AF51" s="12">
        <v>1</v>
      </c>
      <c r="AG51" s="12">
        <v>3</v>
      </c>
      <c r="AH51" s="12">
        <v>4</v>
      </c>
      <c r="AI51" s="10">
        <v>3</v>
      </c>
      <c r="AJ51" s="12">
        <v>4</v>
      </c>
      <c r="AK51" s="12">
        <v>2</v>
      </c>
      <c r="AL51" s="12">
        <v>3</v>
      </c>
      <c r="AM51" s="12">
        <v>2</v>
      </c>
      <c r="AN51" s="12">
        <v>3</v>
      </c>
      <c r="AO51" s="13">
        <f>IFERROR(IF(COUNT(AC51:AN51)=12,(AC51*'[1]Parameter Weights'!$F$7+AD51*'[1]Parameter Weights'!$F$9+AE51*'[1]Parameter Weights'!$F$10+AF51*'[1]Parameter Weights'!$F$11+AG51*'[1]Parameter Weights'!$F$12+AH51*'[1]Parameter Weights'!$F$13+AI51*'[1]Parameter Weights'!$F$14+AJ51*'[1]Parameter Weights'!$F$16+AK51*'[1]Parameter Weights'!$F$17+AL51*'[1]Parameter Weights'!$F$18+AM51*'[1]Parameter Weights'!$F$19+AN51*'[1]Parameter Weights'!$F$20)*20,IF(COUNT(AC51:AN51)=0,"","Incomplete")),"Check inputs")</f>
        <v>53.999999999999993</v>
      </c>
      <c r="AP51" s="14" t="s">
        <v>2</v>
      </c>
      <c r="AQ51" s="15" t="str">
        <f t="shared" si="1"/>
        <v>No</v>
      </c>
      <c r="AR51" s="15" t="s">
        <v>2</v>
      </c>
      <c r="AS51" s="9" t="str">
        <f t="shared" si="2"/>
        <v>Tier 3</v>
      </c>
      <c r="AT51" s="32" t="str">
        <f t="shared" si="3"/>
        <v>Major workover, execute after Tier 1 and 2 validate economics</v>
      </c>
      <c r="AU51" s="28" t="s">
        <v>595</v>
      </c>
      <c r="AX51" s="3">
        <f t="shared" si="9"/>
        <v>11</v>
      </c>
      <c r="AY51" s="3">
        <f t="shared" si="10"/>
        <v>11</v>
      </c>
    </row>
    <row r="52" spans="1:51" ht="51" customHeight="1" thickBot="1">
      <c r="A52" s="20">
        <v>44</v>
      </c>
      <c r="B52" s="21" t="s">
        <v>596</v>
      </c>
      <c r="C52" s="20" t="s">
        <v>59</v>
      </c>
      <c r="D52" s="20">
        <v>736753.22</v>
      </c>
      <c r="E52" s="20">
        <v>132300.95000000001</v>
      </c>
      <c r="F52" s="21" t="s">
        <v>558</v>
      </c>
      <c r="G52" s="21" t="s">
        <v>597</v>
      </c>
      <c r="H52" s="41" t="s">
        <v>598</v>
      </c>
      <c r="I52" s="23">
        <v>253</v>
      </c>
      <c r="J52" s="20">
        <v>109</v>
      </c>
      <c r="K52" s="23">
        <f t="shared" si="7"/>
        <v>362</v>
      </c>
      <c r="L52" s="20">
        <v>2.3143939205540498</v>
      </c>
      <c r="M52" s="24">
        <v>1.1663118234329299</v>
      </c>
      <c r="N52" s="20" t="s">
        <v>63</v>
      </c>
      <c r="O52" s="1" t="s">
        <v>64</v>
      </c>
      <c r="P52" s="70">
        <v>41883</v>
      </c>
      <c r="Q52" s="24">
        <f t="shared" si="8"/>
        <v>12</v>
      </c>
      <c r="R52" s="24">
        <v>5.2</v>
      </c>
      <c r="S52" s="24" t="s">
        <v>599</v>
      </c>
      <c r="T52" s="26">
        <v>99.1</v>
      </c>
      <c r="U52" s="31" t="s">
        <v>600</v>
      </c>
      <c r="V52" s="22" t="s">
        <v>601</v>
      </c>
      <c r="W52" s="22" t="s">
        <v>602</v>
      </c>
      <c r="X52" s="22" t="s">
        <v>603</v>
      </c>
      <c r="Y52" s="22" t="s">
        <v>604</v>
      </c>
      <c r="Z52" s="22" t="s">
        <v>605</v>
      </c>
      <c r="AA52" s="22" t="s">
        <v>606</v>
      </c>
      <c r="AB52" s="22" t="s">
        <v>607</v>
      </c>
      <c r="AC52" s="12">
        <v>3</v>
      </c>
      <c r="AD52" s="6">
        <f t="shared" si="6"/>
        <v>4</v>
      </c>
      <c r="AE52" s="12">
        <v>2</v>
      </c>
      <c r="AF52" s="12">
        <v>1</v>
      </c>
      <c r="AG52" s="12">
        <v>3</v>
      </c>
      <c r="AH52" s="12">
        <v>5</v>
      </c>
      <c r="AI52" s="10">
        <v>3</v>
      </c>
      <c r="AJ52" s="12">
        <v>3</v>
      </c>
      <c r="AK52" s="12">
        <v>2</v>
      </c>
      <c r="AL52" s="12">
        <v>3</v>
      </c>
      <c r="AM52" s="12">
        <v>3</v>
      </c>
      <c r="AN52" s="12">
        <v>3</v>
      </c>
      <c r="AO52" s="13">
        <f>IFERROR(IF(COUNT(AC52:AN52)=12,(AC52*'[1]Parameter Weights'!$F$7+AD52*'[1]Parameter Weights'!$F$9+AE52*'[1]Parameter Weights'!$F$10+AF52*'[1]Parameter Weights'!$F$11+AG52*'[1]Parameter Weights'!$F$12+AH52*'[1]Parameter Weights'!$F$13+AI52*'[1]Parameter Weights'!$F$14+AJ52*'[1]Parameter Weights'!$F$16+AK52*'[1]Parameter Weights'!$F$17+AL52*'[1]Parameter Weights'!$F$18+AM52*'[1]Parameter Weights'!$F$19+AN52*'[1]Parameter Weights'!$F$20)*20,IF(COUNT(AC52:AN52)=0,"","Incomplete")),"Check inputs")</f>
        <v>62</v>
      </c>
      <c r="AP52" s="14" t="s">
        <v>2</v>
      </c>
      <c r="AQ52" s="15" t="str">
        <f t="shared" si="1"/>
        <v>No</v>
      </c>
      <c r="AR52" s="15" t="s">
        <v>2</v>
      </c>
      <c r="AS52" s="9" t="str">
        <f t="shared" si="2"/>
        <v>Tier 2</v>
      </c>
      <c r="AT52" s="32" t="str">
        <f t="shared" si="3"/>
        <v>Engineering intervention, validate economics at base oil price</v>
      </c>
      <c r="AU52" s="28" t="s">
        <v>608</v>
      </c>
      <c r="AX52" s="3">
        <f t="shared" si="9"/>
        <v>14</v>
      </c>
      <c r="AY52" s="3">
        <f t="shared" si="10"/>
        <v>11</v>
      </c>
    </row>
    <row r="53" spans="1:51" ht="50.1" customHeight="1" thickBot="1">
      <c r="A53" s="20">
        <v>45</v>
      </c>
      <c r="B53" s="21" t="s">
        <v>609</v>
      </c>
      <c r="C53" s="20" t="s">
        <v>59</v>
      </c>
      <c r="D53" s="20">
        <v>735985.31</v>
      </c>
      <c r="E53" s="20">
        <v>166906.9</v>
      </c>
      <c r="F53" s="21" t="s">
        <v>610</v>
      </c>
      <c r="G53" s="21" t="s">
        <v>611</v>
      </c>
      <c r="H53" s="41" t="s">
        <v>612</v>
      </c>
      <c r="I53" s="23">
        <v>145</v>
      </c>
      <c r="J53" s="20">
        <v>0</v>
      </c>
      <c r="K53" s="23">
        <f t="shared" si="7"/>
        <v>145</v>
      </c>
      <c r="L53" s="20">
        <v>5.3682593104013202E-2</v>
      </c>
      <c r="M53" s="24">
        <v>5.3682593104013202E-2</v>
      </c>
      <c r="N53" s="20" t="s">
        <v>63</v>
      </c>
      <c r="O53" s="1" t="s">
        <v>64</v>
      </c>
      <c r="P53" s="70">
        <v>42095</v>
      </c>
      <c r="Q53" s="24">
        <f t="shared" si="8"/>
        <v>11</v>
      </c>
      <c r="R53" s="24">
        <v>2.7</v>
      </c>
      <c r="S53" s="24" t="s">
        <v>613</v>
      </c>
      <c r="T53" s="26">
        <v>90</v>
      </c>
      <c r="U53" s="31" t="s">
        <v>614</v>
      </c>
      <c r="V53" s="22" t="s">
        <v>615</v>
      </c>
      <c r="W53" s="22" t="s">
        <v>616</v>
      </c>
      <c r="X53" s="22" t="s">
        <v>617</v>
      </c>
      <c r="Y53" s="22" t="s">
        <v>618</v>
      </c>
      <c r="Z53" s="22" t="s">
        <v>619</v>
      </c>
      <c r="AA53" s="22" t="s">
        <v>620</v>
      </c>
      <c r="AB53" s="22" t="s">
        <v>621</v>
      </c>
      <c r="AC53" s="12">
        <v>3</v>
      </c>
      <c r="AD53" s="6">
        <f t="shared" si="6"/>
        <v>2</v>
      </c>
      <c r="AE53" s="12">
        <v>3</v>
      </c>
      <c r="AF53" s="12">
        <v>2</v>
      </c>
      <c r="AG53" s="12">
        <v>4</v>
      </c>
      <c r="AH53" s="12">
        <v>5</v>
      </c>
      <c r="AI53" s="12">
        <v>3</v>
      </c>
      <c r="AJ53" s="12">
        <v>3</v>
      </c>
      <c r="AK53" s="12">
        <v>3</v>
      </c>
      <c r="AL53" s="12">
        <v>3</v>
      </c>
      <c r="AM53" s="12">
        <v>2</v>
      </c>
      <c r="AN53" s="12">
        <v>3</v>
      </c>
      <c r="AO53" s="13">
        <f>IFERROR(IF(COUNT(AC53:AN53)=12,(AC53*'[1]Parameter Weights'!$F$7+AD53*'[1]Parameter Weights'!$F$9+AE53*'[1]Parameter Weights'!$F$10+AF53*'[1]Parameter Weights'!$F$11+AG53*'[1]Parameter Weights'!$F$12+AH53*'[1]Parameter Weights'!$F$13+AI53*'[1]Parameter Weights'!$F$14+AJ53*'[1]Parameter Weights'!$F$16+AK53*'[1]Parameter Weights'!$F$17+AL53*'[1]Parameter Weights'!$F$18+AM53*'[1]Parameter Weights'!$F$19+AN53*'[1]Parameter Weights'!$F$20)*20,IF(COUNT(AC53:AN53)=0,"","Incomplete")),"Check inputs")</f>
        <v>62</v>
      </c>
      <c r="AP53" s="14" t="s">
        <v>2</v>
      </c>
      <c r="AQ53" s="15" t="str">
        <f t="shared" si="1"/>
        <v>No</v>
      </c>
      <c r="AR53" s="15" t="s">
        <v>2</v>
      </c>
      <c r="AS53" s="9" t="str">
        <f t="shared" si="2"/>
        <v>Tier 2</v>
      </c>
      <c r="AT53" s="32" t="str">
        <f t="shared" si="3"/>
        <v>Engineering intervention, validate economics at base oil price</v>
      </c>
      <c r="AU53" s="28" t="s">
        <v>622</v>
      </c>
      <c r="AX53" s="3">
        <f t="shared" si="9"/>
        <v>14</v>
      </c>
      <c r="AY53" s="3">
        <f t="shared" si="10"/>
        <v>12</v>
      </c>
    </row>
    <row r="54" spans="1:51" ht="50.1" customHeight="1" thickBot="1">
      <c r="A54" s="20">
        <v>46</v>
      </c>
      <c r="B54" s="21" t="s">
        <v>623</v>
      </c>
      <c r="C54" s="20" t="s">
        <v>59</v>
      </c>
      <c r="D54" s="20">
        <v>761163.95</v>
      </c>
      <c r="E54" s="20">
        <v>115812.76</v>
      </c>
      <c r="F54" s="21" t="s">
        <v>624</v>
      </c>
      <c r="G54" s="21" t="s">
        <v>625</v>
      </c>
      <c r="H54" s="41" t="s">
        <v>540</v>
      </c>
      <c r="I54" s="23">
        <v>0</v>
      </c>
      <c r="J54" s="23">
        <v>0</v>
      </c>
      <c r="K54" s="23" t="s">
        <v>626</v>
      </c>
      <c r="L54" s="20">
        <v>3.1211642292114501E-2</v>
      </c>
      <c r="M54" s="24">
        <v>3.1211642292114501E-2</v>
      </c>
      <c r="N54" s="20" t="s">
        <v>63</v>
      </c>
      <c r="O54" s="1" t="s">
        <v>64</v>
      </c>
      <c r="P54" s="70">
        <v>40148</v>
      </c>
      <c r="Q54" s="24">
        <f t="shared" si="8"/>
        <v>17</v>
      </c>
      <c r="R54" s="24">
        <v>0</v>
      </c>
      <c r="S54" s="24" t="e">
        <f>VLOOKUP(J54,[2]Assessment!$A$4:$BO$101,19,FALSE)</f>
        <v>#N/A</v>
      </c>
      <c r="T54" s="26">
        <v>100</v>
      </c>
      <c r="U54" s="20" t="e">
        <f>VLOOKUP(P54,[2]Assessment!$A$4:$BO$101,19,FALSE)</f>
        <v>#N/A</v>
      </c>
      <c r="V54" s="22" t="s">
        <v>627</v>
      </c>
      <c r="W54" s="22" t="s">
        <v>628</v>
      </c>
      <c r="X54" s="22" t="s">
        <v>629</v>
      </c>
      <c r="Y54" s="22" t="s">
        <v>630</v>
      </c>
      <c r="Z54" s="22" t="s">
        <v>631</v>
      </c>
      <c r="AA54" s="22" t="s">
        <v>632</v>
      </c>
      <c r="AB54" s="22" t="s">
        <v>633</v>
      </c>
      <c r="AC54" s="12">
        <v>1</v>
      </c>
      <c r="AD54" s="6">
        <v>3</v>
      </c>
      <c r="AE54" s="12">
        <v>2</v>
      </c>
      <c r="AF54" s="12">
        <v>2</v>
      </c>
      <c r="AG54" s="12">
        <v>4</v>
      </c>
      <c r="AH54" s="12">
        <v>3</v>
      </c>
      <c r="AI54" s="12">
        <v>3</v>
      </c>
      <c r="AJ54" s="12">
        <v>2</v>
      </c>
      <c r="AK54" s="12">
        <v>3</v>
      </c>
      <c r="AL54" s="12">
        <v>2</v>
      </c>
      <c r="AM54" s="12">
        <v>2</v>
      </c>
      <c r="AN54" s="12">
        <v>3</v>
      </c>
      <c r="AO54" s="13">
        <f>IFERROR(IF(COUNT(AC54:AN54)=12,(AC54*'[1]Parameter Weights'!$F$7+AD54*'[1]Parameter Weights'!$F$9+AE54*'[1]Parameter Weights'!$F$10+AF54*'[1]Parameter Weights'!$F$11+AG54*'[1]Parameter Weights'!$F$12+AH54*'[1]Parameter Weights'!$F$13+AI54*'[1]Parameter Weights'!$F$14+AJ54*'[1]Parameter Weights'!$F$16+AK54*'[1]Parameter Weights'!$F$17+AL54*'[1]Parameter Weights'!$F$18+AM54*'[1]Parameter Weights'!$F$19+AN54*'[1]Parameter Weights'!$F$20)*20,IF(COUNT(AC54:AN54)=0,"","Incomplete")),"Check inputs")</f>
        <v>53</v>
      </c>
      <c r="AP54" s="14" t="s">
        <v>2</v>
      </c>
      <c r="AQ54" s="15" t="str">
        <f t="shared" si="1"/>
        <v>No</v>
      </c>
      <c r="AR54" s="15" t="s">
        <v>2</v>
      </c>
      <c r="AS54" s="9" t="str">
        <f t="shared" si="2"/>
        <v>Tier 3</v>
      </c>
      <c r="AT54" s="32" t="str">
        <f t="shared" si="3"/>
        <v>Major workover, execute after Tier 1 and 2 validate economics</v>
      </c>
      <c r="AU54" s="28" t="s">
        <v>634</v>
      </c>
      <c r="AX54" s="3">
        <f t="shared" si="9"/>
        <v>12</v>
      </c>
      <c r="AY54" s="3">
        <f t="shared" si="10"/>
        <v>9</v>
      </c>
    </row>
    <row r="55" spans="1:51" ht="51" customHeight="1" thickBot="1">
      <c r="A55" s="20">
        <v>47</v>
      </c>
      <c r="B55" s="21" t="s">
        <v>635</v>
      </c>
      <c r="C55" s="20" t="s">
        <v>59</v>
      </c>
      <c r="D55" s="20">
        <v>728168.72</v>
      </c>
      <c r="E55" s="20">
        <v>150335.57</v>
      </c>
      <c r="F55" s="21" t="s">
        <v>636</v>
      </c>
      <c r="G55" s="21" t="s">
        <v>637</v>
      </c>
      <c r="H55" s="41" t="s">
        <v>638</v>
      </c>
      <c r="I55" s="23">
        <v>0</v>
      </c>
      <c r="J55" s="20">
        <v>377</v>
      </c>
      <c r="K55" s="23">
        <f t="shared" si="7"/>
        <v>377</v>
      </c>
      <c r="L55" s="20">
        <v>1.3226121438455101</v>
      </c>
      <c r="M55" s="24">
        <v>1.3226121438455101</v>
      </c>
      <c r="N55" s="20" t="s">
        <v>63</v>
      </c>
      <c r="O55" s="1" t="s">
        <v>64</v>
      </c>
      <c r="P55" s="70">
        <v>40664</v>
      </c>
      <c r="Q55" s="24">
        <f t="shared" si="8"/>
        <v>15</v>
      </c>
      <c r="R55" s="24">
        <v>0</v>
      </c>
      <c r="S55" s="24" t="e">
        <f>VLOOKUP(J55,[2]Assessment!$A$4:$BO$101,19,FALSE)</f>
        <v>#N/A</v>
      </c>
      <c r="T55" s="30" t="e">
        <f>VLOOKUP(N55,[2]Assessment!$A$4:$BO$101,19,FALSE)</f>
        <v>#N/A</v>
      </c>
      <c r="U55" s="20" t="e">
        <f>VLOOKUP(P55,[2]Assessment!$A$4:$BO$101,19,FALSE)</f>
        <v>#N/A</v>
      </c>
      <c r="V55" s="22" t="s">
        <v>639</v>
      </c>
      <c r="W55" s="22" t="s">
        <v>628</v>
      </c>
      <c r="X55" s="22" t="s">
        <v>640</v>
      </c>
      <c r="Y55" s="22" t="s">
        <v>641</v>
      </c>
      <c r="Z55" s="22" t="s">
        <v>642</v>
      </c>
      <c r="AA55" s="22" t="s">
        <v>643</v>
      </c>
      <c r="AB55" s="22" t="s">
        <v>644</v>
      </c>
      <c r="AC55" s="12">
        <v>2</v>
      </c>
      <c r="AD55" s="6">
        <f t="shared" si="6"/>
        <v>4</v>
      </c>
      <c r="AE55" s="12">
        <v>2</v>
      </c>
      <c r="AF55" s="12">
        <v>1</v>
      </c>
      <c r="AG55" s="12">
        <v>4</v>
      </c>
      <c r="AH55" s="12">
        <v>4</v>
      </c>
      <c r="AI55" s="12">
        <v>3</v>
      </c>
      <c r="AJ55" s="12">
        <v>1</v>
      </c>
      <c r="AK55" s="12">
        <v>2</v>
      </c>
      <c r="AL55" s="12">
        <v>3</v>
      </c>
      <c r="AM55" s="12">
        <v>2</v>
      </c>
      <c r="AN55" s="12">
        <v>2</v>
      </c>
      <c r="AO55" s="13">
        <f>IFERROR(IF(COUNT(AC55:AN55)=12,(AC55*'[1]Parameter Weights'!$F$7+AD55*'[1]Parameter Weights'!$F$9+AE55*'[1]Parameter Weights'!$F$10+AF55*'[1]Parameter Weights'!$F$11+AG55*'[1]Parameter Weights'!$F$12+AH55*'[1]Parameter Weights'!$F$13+AI55*'[1]Parameter Weights'!$F$14+AJ55*'[1]Parameter Weights'!$F$16+AK55*'[1]Parameter Weights'!$F$17+AL55*'[1]Parameter Weights'!$F$18+AM55*'[1]Parameter Weights'!$F$19+AN55*'[1]Parameter Weights'!$F$20)*20,IF(COUNT(AC55:AN55)=0,"","Incomplete")),"Check inputs")</f>
        <v>55.000000000000007</v>
      </c>
      <c r="AP55" s="14" t="s">
        <v>2</v>
      </c>
      <c r="AQ55" s="15" t="str">
        <f t="shared" si="1"/>
        <v>No</v>
      </c>
      <c r="AR55" s="15" t="s">
        <v>2</v>
      </c>
      <c r="AS55" s="9" t="str">
        <f t="shared" si="2"/>
        <v>Tier 2</v>
      </c>
      <c r="AT55" s="32" t="str">
        <f t="shared" si="3"/>
        <v>Engineering intervention, validate economics at base oil price</v>
      </c>
      <c r="AU55" s="120" t="s">
        <v>645</v>
      </c>
      <c r="AX55" s="3">
        <f t="shared" si="9"/>
        <v>12</v>
      </c>
      <c r="AY55" s="3">
        <f t="shared" si="10"/>
        <v>9</v>
      </c>
    </row>
    <row r="56" spans="1:51" ht="50.1" customHeight="1" thickBot="1">
      <c r="A56" s="20">
        <v>48</v>
      </c>
      <c r="B56" s="21" t="s">
        <v>646</v>
      </c>
      <c r="C56" s="20" t="s">
        <v>59</v>
      </c>
      <c r="D56" s="20">
        <v>720015.86</v>
      </c>
      <c r="E56" s="20">
        <v>71752.820000000007</v>
      </c>
      <c r="F56" s="21" t="s">
        <v>647</v>
      </c>
      <c r="G56" s="21" t="s">
        <v>648</v>
      </c>
      <c r="H56" s="41" t="s">
        <v>649</v>
      </c>
      <c r="I56" s="23">
        <v>0</v>
      </c>
      <c r="J56" s="20">
        <v>194</v>
      </c>
      <c r="K56" s="23">
        <f t="shared" si="7"/>
        <v>194</v>
      </c>
      <c r="L56" s="20" t="e">
        <v>#N/A</v>
      </c>
      <c r="M56" s="24" t="e">
        <v>#N/A</v>
      </c>
      <c r="N56" s="20" t="s">
        <v>63</v>
      </c>
      <c r="O56" s="1" t="s">
        <v>64</v>
      </c>
      <c r="P56" s="70">
        <v>39479</v>
      </c>
      <c r="Q56" s="24">
        <f t="shared" si="8"/>
        <v>18</v>
      </c>
      <c r="R56" s="24">
        <v>54</v>
      </c>
      <c r="S56" s="24" t="s">
        <v>650</v>
      </c>
      <c r="T56" s="26">
        <v>41.68</v>
      </c>
      <c r="U56" s="22" t="s">
        <v>651</v>
      </c>
      <c r="V56" s="22" t="s">
        <v>652</v>
      </c>
      <c r="W56" s="22" t="s">
        <v>653</v>
      </c>
      <c r="X56" s="121" t="s">
        <v>654</v>
      </c>
      <c r="Y56" s="22" t="s">
        <v>655</v>
      </c>
      <c r="Z56" s="22" t="s">
        <v>656</v>
      </c>
      <c r="AA56" s="22" t="s">
        <v>657</v>
      </c>
      <c r="AB56" s="22" t="s">
        <v>658</v>
      </c>
      <c r="AC56" s="12">
        <v>3</v>
      </c>
      <c r="AD56" s="6">
        <f t="shared" si="6"/>
        <v>3</v>
      </c>
      <c r="AE56" s="12">
        <v>3</v>
      </c>
      <c r="AF56" s="12">
        <v>2</v>
      </c>
      <c r="AG56" s="12">
        <v>2</v>
      </c>
      <c r="AH56" s="12">
        <v>1</v>
      </c>
      <c r="AI56" s="12">
        <v>3</v>
      </c>
      <c r="AJ56" s="12">
        <v>2</v>
      </c>
      <c r="AK56" s="12">
        <v>3</v>
      </c>
      <c r="AL56" s="12">
        <v>3</v>
      </c>
      <c r="AM56" s="12">
        <v>5</v>
      </c>
      <c r="AN56" s="12">
        <v>2</v>
      </c>
      <c r="AO56" s="13">
        <f>IFERROR(IF(COUNT(AC56:AN56)=12,(AC56*'[1]Parameter Weights'!$F$7+AD56*'[1]Parameter Weights'!$F$9+AE56*'[1]Parameter Weights'!$F$10+AF56*'[1]Parameter Weights'!$F$11+AG56*'[1]Parameter Weights'!$F$12+AH56*'[1]Parameter Weights'!$F$13+AI56*'[1]Parameter Weights'!$F$14+AJ56*'[1]Parameter Weights'!$F$16+AK56*'[1]Parameter Weights'!$F$17+AL56*'[1]Parameter Weights'!$F$18+AM56*'[1]Parameter Weights'!$F$19+AN56*'[1]Parameter Weights'!$F$20)*20,IF(COUNT(AC56:AN56)=0,"","Incomplete")),"Check inputs")</f>
        <v>51.000000000000007</v>
      </c>
      <c r="AP56" s="14" t="s">
        <v>2</v>
      </c>
      <c r="AQ56" s="15" t="str">
        <f t="shared" si="1"/>
        <v>No</v>
      </c>
      <c r="AR56" s="15" t="s">
        <v>2</v>
      </c>
      <c r="AS56" s="9" t="str">
        <f t="shared" si="2"/>
        <v>Tier 3</v>
      </c>
      <c r="AT56" s="32" t="str">
        <f t="shared" si="3"/>
        <v>Major workover, execute after Tier 1 and 2 validate economics</v>
      </c>
      <c r="AU56" s="28" t="s">
        <v>659</v>
      </c>
      <c r="AX56" s="3">
        <f t="shared" si="9"/>
        <v>14</v>
      </c>
      <c r="AY56" s="3">
        <f t="shared" si="10"/>
        <v>5</v>
      </c>
    </row>
    <row r="57" spans="1:51" ht="50.1" customHeight="1" thickBot="1">
      <c r="A57" s="20">
        <v>49</v>
      </c>
      <c r="B57" s="21" t="s">
        <v>660</v>
      </c>
      <c r="C57" s="20" t="s">
        <v>59</v>
      </c>
      <c r="D57" s="20">
        <v>725168.7</v>
      </c>
      <c r="E57" s="20">
        <v>67239.11</v>
      </c>
      <c r="F57" s="21" t="s">
        <v>647</v>
      </c>
      <c r="G57" s="21" t="s">
        <v>661</v>
      </c>
      <c r="H57" s="41" t="s">
        <v>662</v>
      </c>
      <c r="I57" s="23">
        <v>825</v>
      </c>
      <c r="J57" s="20">
        <v>117</v>
      </c>
      <c r="K57" s="23">
        <f t="shared" si="7"/>
        <v>942</v>
      </c>
      <c r="L57" s="20" t="e">
        <v>#N/A</v>
      </c>
      <c r="M57" s="24" t="e">
        <v>#N/A</v>
      </c>
      <c r="N57" s="20" t="s">
        <v>63</v>
      </c>
      <c r="O57" s="1" t="s">
        <v>130</v>
      </c>
      <c r="P57" s="70">
        <v>43616</v>
      </c>
      <c r="Q57" s="24">
        <f t="shared" si="8"/>
        <v>7</v>
      </c>
      <c r="R57" s="24">
        <v>3</v>
      </c>
      <c r="S57" s="24" t="s">
        <v>663</v>
      </c>
      <c r="T57" s="26">
        <v>100</v>
      </c>
      <c r="U57" s="22" t="s">
        <v>664</v>
      </c>
      <c r="V57" s="22" t="s">
        <v>665</v>
      </c>
      <c r="W57" s="22" t="s">
        <v>666</v>
      </c>
      <c r="X57" s="22" t="s">
        <v>667</v>
      </c>
      <c r="Y57" s="22" t="s">
        <v>668</v>
      </c>
      <c r="Z57" s="22" t="s">
        <v>669</v>
      </c>
      <c r="AA57" s="22" t="s">
        <v>670</v>
      </c>
      <c r="AB57" s="22" t="s">
        <v>671</v>
      </c>
      <c r="AC57" s="12">
        <v>1</v>
      </c>
      <c r="AD57" s="6">
        <f t="shared" si="6"/>
        <v>5</v>
      </c>
      <c r="AE57" s="12">
        <v>3</v>
      </c>
      <c r="AF57" s="12">
        <v>1</v>
      </c>
      <c r="AG57" s="12">
        <v>3</v>
      </c>
      <c r="AH57" s="12">
        <v>4</v>
      </c>
      <c r="AI57" s="12">
        <v>3</v>
      </c>
      <c r="AJ57" s="12">
        <v>3</v>
      </c>
      <c r="AK57" s="12">
        <v>2</v>
      </c>
      <c r="AL57" s="12">
        <v>3</v>
      </c>
      <c r="AM57" s="12">
        <v>3</v>
      </c>
      <c r="AN57" s="12">
        <v>3</v>
      </c>
      <c r="AO57" s="13">
        <f>IFERROR(IF(COUNT(AC57:AN57)=12,(AC57*'[1]Parameter Weights'!$F$7+AD57*'[1]Parameter Weights'!$F$9+AE57*'[1]Parameter Weights'!$F$10+AF57*'[1]Parameter Weights'!$F$11+AG57*'[1]Parameter Weights'!$F$12+AH57*'[1]Parameter Weights'!$F$13+AI57*'[1]Parameter Weights'!$F$14+AJ57*'[1]Parameter Weights'!$F$16+AK57*'[1]Parameter Weights'!$F$17+AL57*'[1]Parameter Weights'!$F$18+AM57*'[1]Parameter Weights'!$F$19+AN57*'[1]Parameter Weights'!$F$20)*20,IF(COUNT(AC57:AN57)=0,"","Incomplete")),"Check inputs")</f>
        <v>59.999999999999993</v>
      </c>
      <c r="AP57" s="14" t="s">
        <v>2</v>
      </c>
      <c r="AQ57" s="15" t="str">
        <f t="shared" si="1"/>
        <v>No</v>
      </c>
      <c r="AR57" s="15" t="s">
        <v>2</v>
      </c>
      <c r="AS57" s="9" t="str">
        <f t="shared" si="2"/>
        <v>Tier 2</v>
      </c>
      <c r="AT57" s="32" t="str">
        <f t="shared" si="3"/>
        <v>Engineering intervention, validate economics at base oil price</v>
      </c>
      <c r="AU57" s="28" t="s">
        <v>672</v>
      </c>
      <c r="AX57" s="3">
        <f t="shared" si="9"/>
        <v>14</v>
      </c>
      <c r="AY57" s="3">
        <f t="shared" si="10"/>
        <v>10</v>
      </c>
    </row>
    <row r="58" spans="1:51" ht="50.1" customHeight="1" thickBot="1">
      <c r="A58" s="20">
        <v>50</v>
      </c>
      <c r="B58" s="21" t="s">
        <v>673</v>
      </c>
      <c r="C58" s="20" t="s">
        <v>59</v>
      </c>
      <c r="D58" s="20">
        <v>736015.99</v>
      </c>
      <c r="E58" s="20">
        <v>160782.10999999999</v>
      </c>
      <c r="F58" s="21" t="s">
        <v>674</v>
      </c>
      <c r="G58" s="21" t="s">
        <v>675</v>
      </c>
      <c r="H58" s="41" t="s">
        <v>676</v>
      </c>
      <c r="I58" s="23">
        <v>301</v>
      </c>
      <c r="J58" s="20">
        <v>0</v>
      </c>
      <c r="K58" s="23">
        <f t="shared" si="7"/>
        <v>301</v>
      </c>
      <c r="L58" s="20" t="e">
        <v>#N/A</v>
      </c>
      <c r="M58" s="24" t="e">
        <v>#N/A</v>
      </c>
      <c r="N58" s="20" t="s">
        <v>63</v>
      </c>
      <c r="O58" s="1" t="s">
        <v>64</v>
      </c>
      <c r="P58" s="70">
        <v>35916</v>
      </c>
      <c r="Q58" s="24">
        <f t="shared" si="8"/>
        <v>28</v>
      </c>
      <c r="R58" s="24">
        <v>2.7</v>
      </c>
      <c r="S58" s="24" t="s">
        <v>677</v>
      </c>
      <c r="T58" s="26">
        <v>95</v>
      </c>
      <c r="U58" s="22" t="s">
        <v>678</v>
      </c>
      <c r="V58" s="22" t="s">
        <v>679</v>
      </c>
      <c r="W58" s="22" t="s">
        <v>680</v>
      </c>
      <c r="X58" s="22" t="s">
        <v>681</v>
      </c>
      <c r="Y58" s="22" t="s">
        <v>682</v>
      </c>
      <c r="Z58" s="22" t="s">
        <v>683</v>
      </c>
      <c r="AA58" s="22" t="s">
        <v>684</v>
      </c>
      <c r="AB58" s="22" t="s">
        <v>685</v>
      </c>
      <c r="AC58" s="12">
        <v>2</v>
      </c>
      <c r="AD58" s="6">
        <f t="shared" si="6"/>
        <v>4</v>
      </c>
      <c r="AE58" s="12">
        <v>2</v>
      </c>
      <c r="AF58" s="12">
        <v>2</v>
      </c>
      <c r="AG58" s="12">
        <v>2</v>
      </c>
      <c r="AH58" s="12">
        <v>2</v>
      </c>
      <c r="AI58" s="12">
        <v>3</v>
      </c>
      <c r="AJ58" s="12">
        <v>2</v>
      </c>
      <c r="AK58" s="12">
        <v>2</v>
      </c>
      <c r="AL58" s="12">
        <v>1</v>
      </c>
      <c r="AM58" s="12">
        <v>2</v>
      </c>
      <c r="AN58" s="12">
        <v>3</v>
      </c>
      <c r="AO58" s="13">
        <f>IFERROR(IF(COUNT(AC58:AN58)=12,(AC58*'[1]Parameter Weights'!$F$7+AD58*'[1]Parameter Weights'!$F$9+AE58*'[1]Parameter Weights'!$F$10+AF58*'[1]Parameter Weights'!$F$11+AG58*'[1]Parameter Weights'!$F$12+AH58*'[1]Parameter Weights'!$F$13+AI58*'[1]Parameter Weights'!$F$14+AJ58*'[1]Parameter Weights'!$F$16+AK58*'[1]Parameter Weights'!$F$17+AL58*'[1]Parameter Weights'!$F$18+AM58*'[1]Parameter Weights'!$F$19+AN58*'[1]Parameter Weights'!$F$20)*20,IF(COUNT(AC58:AN58)=0,"","Incomplete")),"Check inputs")</f>
        <v>46.999999999999993</v>
      </c>
      <c r="AP58" s="14" t="s">
        <v>2</v>
      </c>
      <c r="AQ58" s="15" t="str">
        <f t="shared" si="1"/>
        <v>No</v>
      </c>
      <c r="AR58" s="15" t="s">
        <v>2</v>
      </c>
      <c r="AS58" s="9" t="str">
        <f t="shared" si="2"/>
        <v>Tier 3</v>
      </c>
      <c r="AT58" s="32" t="str">
        <f t="shared" si="3"/>
        <v>Major workover, execute after Tier 1 and 2 validate economics</v>
      </c>
      <c r="AU58" s="28" t="s">
        <v>686</v>
      </c>
      <c r="AX58" s="3">
        <f t="shared" si="9"/>
        <v>13</v>
      </c>
      <c r="AY58" s="3">
        <f t="shared" si="10"/>
        <v>6</v>
      </c>
    </row>
    <row r="59" spans="1:51" ht="50.1" customHeight="1" thickBot="1">
      <c r="A59" s="20">
        <v>51</v>
      </c>
      <c r="B59" s="21" t="s">
        <v>687</v>
      </c>
      <c r="C59" s="20" t="s">
        <v>59</v>
      </c>
      <c r="D59" s="20">
        <v>736351.2</v>
      </c>
      <c r="E59" s="20">
        <v>162187.29999999999</v>
      </c>
      <c r="F59" s="21" t="s">
        <v>674</v>
      </c>
      <c r="G59" s="21" t="s">
        <v>688</v>
      </c>
      <c r="H59" s="41" t="s">
        <v>689</v>
      </c>
      <c r="I59" s="23">
        <v>0</v>
      </c>
      <c r="J59" s="20">
        <v>0</v>
      </c>
      <c r="K59" s="23">
        <f t="shared" si="7"/>
        <v>0</v>
      </c>
      <c r="L59" s="20" t="e">
        <v>#N/A</v>
      </c>
      <c r="M59" s="24" t="e">
        <v>#N/A</v>
      </c>
      <c r="N59" s="20" t="s">
        <v>63</v>
      </c>
      <c r="O59" s="1" t="s">
        <v>64</v>
      </c>
      <c r="P59" s="70">
        <v>38595</v>
      </c>
      <c r="Q59" s="24">
        <f t="shared" si="8"/>
        <v>21</v>
      </c>
      <c r="R59" s="24">
        <v>132</v>
      </c>
      <c r="S59" s="24" t="s">
        <v>690</v>
      </c>
      <c r="T59" s="26">
        <v>90.6</v>
      </c>
      <c r="U59" s="22" t="s">
        <v>691</v>
      </c>
      <c r="V59" s="22" t="s">
        <v>692</v>
      </c>
      <c r="W59" s="22" t="s">
        <v>693</v>
      </c>
      <c r="X59" s="22" t="s">
        <v>694</v>
      </c>
      <c r="Y59" s="22" t="s">
        <v>695</v>
      </c>
      <c r="Z59" s="22" t="s">
        <v>696</v>
      </c>
      <c r="AA59" s="22" t="s">
        <v>697</v>
      </c>
      <c r="AB59" s="22" t="s">
        <v>698</v>
      </c>
      <c r="AC59" s="12">
        <v>1</v>
      </c>
      <c r="AD59" s="6">
        <f t="shared" si="6"/>
        <v>1</v>
      </c>
      <c r="AE59" s="12">
        <v>3</v>
      </c>
      <c r="AF59" s="12">
        <v>1</v>
      </c>
      <c r="AG59" s="12">
        <v>2</v>
      </c>
      <c r="AH59" s="12">
        <v>2</v>
      </c>
      <c r="AI59" s="12">
        <v>3</v>
      </c>
      <c r="AJ59" s="12">
        <v>2</v>
      </c>
      <c r="AK59" s="12">
        <v>5</v>
      </c>
      <c r="AL59" s="12">
        <v>3</v>
      </c>
      <c r="AM59" s="12">
        <v>3</v>
      </c>
      <c r="AN59" s="12">
        <v>3</v>
      </c>
      <c r="AO59" s="13">
        <f>IFERROR(IF(COUNT(AC59:AN59)=12,(AC59*'[1]Parameter Weights'!$F$7+AD59*'[1]Parameter Weights'!$F$9+AE59*'[1]Parameter Weights'!$F$10+AF59*'[1]Parameter Weights'!$F$11+AG59*'[1]Parameter Weights'!$F$12+AH59*'[1]Parameter Weights'!$F$13+AI59*'[1]Parameter Weights'!$F$14+AJ59*'[1]Parameter Weights'!$F$16+AK59*'[1]Parameter Weights'!$F$17+AL59*'[1]Parameter Weights'!$F$18+AM59*'[1]Parameter Weights'!$F$19+AN59*'[1]Parameter Weights'!$F$20)*20,IF(COUNT(AC59:AN59)=0,"","Incomplete")),"Check inputs")</f>
        <v>45</v>
      </c>
      <c r="AP59" s="14" t="s">
        <v>2</v>
      </c>
      <c r="AQ59" s="15" t="str">
        <f t="shared" si="1"/>
        <v>No</v>
      </c>
      <c r="AR59" s="15" t="s">
        <v>2</v>
      </c>
      <c r="AS59" s="9" t="str">
        <f t="shared" si="2"/>
        <v>Tier 3</v>
      </c>
      <c r="AT59" s="32" t="str">
        <f t="shared" si="3"/>
        <v>Major workover, execute after Tier 1 and 2 validate economics</v>
      </c>
      <c r="AU59" s="28" t="s">
        <v>699</v>
      </c>
      <c r="AX59" s="3">
        <f t="shared" si="9"/>
        <v>13</v>
      </c>
      <c r="AY59" s="3">
        <f t="shared" si="10"/>
        <v>6</v>
      </c>
    </row>
    <row r="60" spans="1:51" ht="63.75" customHeight="1" thickBot="1">
      <c r="A60" s="20">
        <v>52</v>
      </c>
      <c r="B60" s="21" t="s">
        <v>700</v>
      </c>
      <c r="C60" s="20" t="s">
        <v>59</v>
      </c>
      <c r="D60" s="20">
        <v>737793.1</v>
      </c>
      <c r="E60" s="20">
        <v>161523.29999999999</v>
      </c>
      <c r="F60" s="21" t="s">
        <v>674</v>
      </c>
      <c r="G60" s="21" t="s">
        <v>701</v>
      </c>
      <c r="H60" s="41" t="s">
        <v>702</v>
      </c>
      <c r="I60" s="23">
        <v>33</v>
      </c>
      <c r="J60" s="20">
        <v>0</v>
      </c>
      <c r="K60" s="23">
        <f t="shared" si="7"/>
        <v>33</v>
      </c>
      <c r="L60" s="20" t="e">
        <v>#N/A</v>
      </c>
      <c r="M60" s="24" t="e">
        <v>#N/A</v>
      </c>
      <c r="N60" s="20" t="s">
        <v>63</v>
      </c>
      <c r="O60" s="1" t="s">
        <v>64</v>
      </c>
      <c r="P60" s="70">
        <v>43557</v>
      </c>
      <c r="Q60" s="24">
        <f t="shared" si="8"/>
        <v>7</v>
      </c>
      <c r="R60" s="24">
        <v>200</v>
      </c>
      <c r="S60" s="24" t="s">
        <v>703</v>
      </c>
      <c r="T60" s="26">
        <v>95</v>
      </c>
      <c r="U60" s="22" t="s">
        <v>704</v>
      </c>
      <c r="V60" s="22" t="s">
        <v>705</v>
      </c>
      <c r="W60" s="22" t="s">
        <v>706</v>
      </c>
      <c r="X60" s="22" t="s">
        <v>707</v>
      </c>
      <c r="Y60" s="22" t="s">
        <v>708</v>
      </c>
      <c r="Z60" s="22" t="s">
        <v>709</v>
      </c>
      <c r="AA60" s="22" t="s">
        <v>710</v>
      </c>
      <c r="AB60" s="22" t="s">
        <v>711</v>
      </c>
      <c r="AC60" s="12">
        <v>5</v>
      </c>
      <c r="AD60" s="6">
        <f t="shared" si="6"/>
        <v>1</v>
      </c>
      <c r="AE60" s="12">
        <v>5</v>
      </c>
      <c r="AF60" s="12">
        <v>3</v>
      </c>
      <c r="AG60" s="12">
        <v>2</v>
      </c>
      <c r="AH60" s="12">
        <v>2</v>
      </c>
      <c r="AI60" s="12">
        <v>3</v>
      </c>
      <c r="AJ60" s="12">
        <v>2</v>
      </c>
      <c r="AK60" s="12">
        <v>2</v>
      </c>
      <c r="AL60" s="12">
        <v>2</v>
      </c>
      <c r="AM60" s="12">
        <v>2</v>
      </c>
      <c r="AN60" s="12">
        <v>4</v>
      </c>
      <c r="AO60" s="13">
        <f>IFERROR(IF(COUNT(AC60:AN60)=12,(AC60*'[1]Parameter Weights'!$F$7+AD60*'[1]Parameter Weights'!$F$9+AE60*'[1]Parameter Weights'!$F$10+AF60*'[1]Parameter Weights'!$F$11+AG60*'[1]Parameter Weights'!$F$12+AH60*'[1]Parameter Weights'!$F$13+AI60*'[1]Parameter Weights'!$F$14+AJ60*'[1]Parameter Weights'!$F$16+AK60*'[1]Parameter Weights'!$F$17+AL60*'[1]Parameter Weights'!$F$18+AM60*'[1]Parameter Weights'!$F$19+AN60*'[1]Parameter Weights'!$F$20)*20,IF(COUNT(AC60:AN60)=0,"","Incomplete")),"Check inputs")</f>
        <v>50.000000000000007</v>
      </c>
      <c r="AP60" s="14" t="s">
        <v>2</v>
      </c>
      <c r="AQ60" s="15" t="str">
        <f t="shared" si="1"/>
        <v>No</v>
      </c>
      <c r="AR60" s="15" t="s">
        <v>2</v>
      </c>
      <c r="AS60" s="9" t="str">
        <f t="shared" si="2"/>
        <v>Tier 3</v>
      </c>
      <c r="AT60" s="32" t="str">
        <f t="shared" si="3"/>
        <v>Major workover, execute after Tier 1 and 2 validate economics</v>
      </c>
      <c r="AU60" s="28" t="s">
        <v>712</v>
      </c>
      <c r="AX60" s="3">
        <f t="shared" si="9"/>
        <v>17</v>
      </c>
      <c r="AY60" s="3">
        <f t="shared" si="10"/>
        <v>6</v>
      </c>
    </row>
    <row r="61" spans="1:51" ht="50.1" customHeight="1" thickBot="1">
      <c r="A61" s="20">
        <v>53</v>
      </c>
      <c r="B61" s="21" t="s">
        <v>713</v>
      </c>
      <c r="C61" s="20" t="s">
        <v>59</v>
      </c>
      <c r="D61" s="20">
        <v>737134.33</v>
      </c>
      <c r="E61" s="20">
        <v>162676.73000000001</v>
      </c>
      <c r="F61" s="21" t="s">
        <v>674</v>
      </c>
      <c r="G61" s="21" t="s">
        <v>714</v>
      </c>
      <c r="H61" s="41" t="s">
        <v>715</v>
      </c>
      <c r="I61" s="23">
        <v>746</v>
      </c>
      <c r="J61" s="20">
        <v>0</v>
      </c>
      <c r="K61" s="23">
        <f t="shared" si="7"/>
        <v>746</v>
      </c>
      <c r="L61" s="20">
        <v>1.14092190522183</v>
      </c>
      <c r="M61" s="24">
        <v>0.30315987597478999</v>
      </c>
      <c r="N61" s="20" t="s">
        <v>63</v>
      </c>
      <c r="O61" s="1" t="s">
        <v>64</v>
      </c>
      <c r="P61" s="70">
        <v>41244</v>
      </c>
      <c r="Q61" s="24">
        <f t="shared" si="8"/>
        <v>14</v>
      </c>
      <c r="R61" s="24">
        <v>1.8</v>
      </c>
      <c r="S61" s="24" t="s">
        <v>716</v>
      </c>
      <c r="T61" s="26">
        <v>99</v>
      </c>
      <c r="U61" s="22" t="s">
        <v>717</v>
      </c>
      <c r="V61" s="22" t="s">
        <v>718</v>
      </c>
      <c r="W61" s="22" t="s">
        <v>719</v>
      </c>
      <c r="X61" s="22" t="s">
        <v>720</v>
      </c>
      <c r="Y61" s="22" t="s">
        <v>721</v>
      </c>
      <c r="Z61" s="22" t="s">
        <v>722</v>
      </c>
      <c r="AA61" s="22" t="s">
        <v>723</v>
      </c>
      <c r="AB61" s="22" t="s">
        <v>724</v>
      </c>
      <c r="AC61" s="12">
        <v>3</v>
      </c>
      <c r="AD61" s="6">
        <f t="shared" si="6"/>
        <v>5</v>
      </c>
      <c r="AE61" s="12">
        <v>2</v>
      </c>
      <c r="AF61" s="12">
        <v>1</v>
      </c>
      <c r="AG61" s="12">
        <v>5</v>
      </c>
      <c r="AH61" s="12">
        <v>5</v>
      </c>
      <c r="AI61" s="12">
        <v>3</v>
      </c>
      <c r="AJ61" s="12">
        <v>3</v>
      </c>
      <c r="AK61" s="12">
        <v>2</v>
      </c>
      <c r="AL61" s="12">
        <v>3</v>
      </c>
      <c r="AM61" s="12">
        <v>3</v>
      </c>
      <c r="AN61" s="12">
        <v>3</v>
      </c>
      <c r="AO61" s="13">
        <f>IFERROR(IF(COUNT(AC61:AN61)=12,(AC61*'[1]Parameter Weights'!$F$7+AD61*'[1]Parameter Weights'!$F$9+AE61*'[1]Parameter Weights'!$F$10+AF61*'[1]Parameter Weights'!$F$11+AG61*'[1]Parameter Weights'!$F$12+AH61*'[1]Parameter Weights'!$F$13+AI61*'[1]Parameter Weights'!$F$14+AJ61*'[1]Parameter Weights'!$F$16+AK61*'[1]Parameter Weights'!$F$17+AL61*'[1]Parameter Weights'!$F$18+AM61*'[1]Parameter Weights'!$F$19+AN61*'[1]Parameter Weights'!$F$20)*20,IF(COUNT(AC61:AN61)=0,"","Incomplete")),"Check inputs")</f>
        <v>71</v>
      </c>
      <c r="AP61" s="14" t="s">
        <v>2</v>
      </c>
      <c r="AQ61" s="15" t="str">
        <f t="shared" si="1"/>
        <v>No</v>
      </c>
      <c r="AR61" s="15" t="s">
        <v>2</v>
      </c>
      <c r="AS61" s="9" t="str">
        <f t="shared" si="2"/>
        <v>Tier 2</v>
      </c>
      <c r="AT61" s="32" t="str">
        <f t="shared" si="3"/>
        <v>Engineering intervention, validate economics at base oil price</v>
      </c>
      <c r="AU61" s="28" t="s">
        <v>725</v>
      </c>
      <c r="AX61" s="3">
        <f t="shared" si="9"/>
        <v>15</v>
      </c>
      <c r="AY61" s="3">
        <f t="shared" si="10"/>
        <v>13</v>
      </c>
    </row>
    <row r="62" spans="1:51" ht="50.1" customHeight="1" thickBot="1">
      <c r="A62" s="20">
        <v>54</v>
      </c>
      <c r="B62" s="21" t="s">
        <v>726</v>
      </c>
      <c r="C62" s="20" t="s">
        <v>59</v>
      </c>
      <c r="D62" s="20">
        <v>736927.26</v>
      </c>
      <c r="E62" s="20">
        <v>160694.01999999999</v>
      </c>
      <c r="F62" s="21" t="s">
        <v>674</v>
      </c>
      <c r="G62" s="21" t="s">
        <v>727</v>
      </c>
      <c r="H62" s="41" t="s">
        <v>728</v>
      </c>
      <c r="I62" s="23">
        <v>269</v>
      </c>
      <c r="J62" s="20">
        <v>143</v>
      </c>
      <c r="K62" s="23">
        <f t="shared" si="7"/>
        <v>412</v>
      </c>
      <c r="L62" s="20">
        <v>0.18610065965275699</v>
      </c>
      <c r="M62" s="24">
        <v>0.18437728261532499</v>
      </c>
      <c r="N62" s="20" t="s">
        <v>63</v>
      </c>
      <c r="O62" s="1" t="s">
        <v>64</v>
      </c>
      <c r="P62" s="70">
        <v>42705</v>
      </c>
      <c r="Q62" s="24">
        <f t="shared" si="8"/>
        <v>10</v>
      </c>
      <c r="R62" s="24">
        <v>5.4</v>
      </c>
      <c r="S62" s="24" t="s">
        <v>729</v>
      </c>
      <c r="T62" s="26">
        <v>99.8</v>
      </c>
      <c r="U62" s="22" t="s">
        <v>730</v>
      </c>
      <c r="V62" s="22" t="s">
        <v>731</v>
      </c>
      <c r="W62" s="22" t="s">
        <v>732</v>
      </c>
      <c r="X62" s="22" t="s">
        <v>733</v>
      </c>
      <c r="Y62" s="22" t="s">
        <v>734</v>
      </c>
      <c r="Z62" s="22" t="s">
        <v>735</v>
      </c>
      <c r="AA62" s="22" t="s">
        <v>736</v>
      </c>
      <c r="AB62" s="22" t="s">
        <v>737</v>
      </c>
      <c r="AC62" s="12">
        <v>3</v>
      </c>
      <c r="AD62" s="6">
        <f t="shared" si="6"/>
        <v>4</v>
      </c>
      <c r="AE62" s="12">
        <v>2</v>
      </c>
      <c r="AF62" s="12">
        <v>3</v>
      </c>
      <c r="AG62" s="12">
        <v>2</v>
      </c>
      <c r="AH62" s="12">
        <v>3</v>
      </c>
      <c r="AI62" s="12">
        <v>3</v>
      </c>
      <c r="AJ62" s="12">
        <v>2</v>
      </c>
      <c r="AK62" s="12">
        <v>2</v>
      </c>
      <c r="AL62" s="12">
        <v>2</v>
      </c>
      <c r="AM62" s="12">
        <v>3</v>
      </c>
      <c r="AN62" s="12">
        <v>3</v>
      </c>
      <c r="AO62" s="13">
        <f>IFERROR(IF(COUNT(AC62:AN62)=12,(AC62*'[1]Parameter Weights'!$F$7+AD62*'[1]Parameter Weights'!$F$9+AE62*'[1]Parameter Weights'!$F$10+AF62*'[1]Parameter Weights'!$F$11+AG62*'[1]Parameter Weights'!$F$12+AH62*'[1]Parameter Weights'!$F$13+AI62*'[1]Parameter Weights'!$F$14+AJ62*'[1]Parameter Weights'!$F$16+AK62*'[1]Parameter Weights'!$F$17+AL62*'[1]Parameter Weights'!$F$18+AM62*'[1]Parameter Weights'!$F$19+AN62*'[1]Parameter Weights'!$F$20)*20,IF(COUNT(AC62:AN62)=0,"","Incomplete")),"Check inputs")</f>
        <v>54</v>
      </c>
      <c r="AP62" s="14" t="s">
        <v>2</v>
      </c>
      <c r="AQ62" s="15" t="str">
        <f t="shared" si="1"/>
        <v>No</v>
      </c>
      <c r="AR62" s="15" t="s">
        <v>2</v>
      </c>
      <c r="AS62" s="9" t="str">
        <f t="shared" si="2"/>
        <v>Tier 3</v>
      </c>
      <c r="AT62" s="32" t="str">
        <f t="shared" si="3"/>
        <v>Major workover, execute after Tier 1 and 2 validate economics</v>
      </c>
      <c r="AU62" s="28" t="s">
        <v>738</v>
      </c>
      <c r="AX62" s="3">
        <f t="shared" si="9"/>
        <v>14</v>
      </c>
      <c r="AY62" s="3">
        <f t="shared" si="10"/>
        <v>7</v>
      </c>
    </row>
    <row r="63" spans="1:51" s="16" customFormat="1" ht="50.1" customHeight="1" thickBot="1">
      <c r="A63" s="20">
        <v>55</v>
      </c>
      <c r="B63" s="21" t="s">
        <v>739</v>
      </c>
      <c r="C63" s="20" t="s">
        <v>59</v>
      </c>
      <c r="D63" s="20">
        <v>736208.24</v>
      </c>
      <c r="E63" s="20">
        <v>161312.44</v>
      </c>
      <c r="F63" s="21" t="s">
        <v>674</v>
      </c>
      <c r="G63" s="21" t="s">
        <v>740</v>
      </c>
      <c r="H63" s="41" t="s">
        <v>741</v>
      </c>
      <c r="I63" s="23">
        <v>314</v>
      </c>
      <c r="J63" s="20">
        <v>0</v>
      </c>
      <c r="K63" s="23">
        <f t="shared" si="7"/>
        <v>314</v>
      </c>
      <c r="L63" s="20">
        <v>4.4932133538744E-2</v>
      </c>
      <c r="M63" s="24">
        <v>4.1000817923391102E-2</v>
      </c>
      <c r="N63" s="20" t="s">
        <v>63</v>
      </c>
      <c r="O63" s="1" t="s">
        <v>130</v>
      </c>
      <c r="P63" s="70">
        <v>43070</v>
      </c>
      <c r="Q63" s="24">
        <f t="shared" si="8"/>
        <v>9</v>
      </c>
      <c r="R63" s="24">
        <v>0.8</v>
      </c>
      <c r="S63" s="24" t="s">
        <v>742</v>
      </c>
      <c r="T63" s="26">
        <v>99.89</v>
      </c>
      <c r="U63" s="20" t="e">
        <f>VLOOKUP(P63,[2]Assessment!$A$4:$BO$101,19,FALSE)</f>
        <v>#N/A</v>
      </c>
      <c r="V63" s="22" t="s">
        <v>743</v>
      </c>
      <c r="W63" s="22" t="s">
        <v>744</v>
      </c>
      <c r="X63" s="22" t="s">
        <v>745</v>
      </c>
      <c r="Y63" s="22" t="s">
        <v>746</v>
      </c>
      <c r="Z63" s="22" t="s">
        <v>747</v>
      </c>
      <c r="AA63" s="22" t="s">
        <v>748</v>
      </c>
      <c r="AB63" s="22" t="s">
        <v>749</v>
      </c>
      <c r="AC63" s="12">
        <v>2</v>
      </c>
      <c r="AD63" s="6">
        <f t="shared" si="6"/>
        <v>4</v>
      </c>
      <c r="AE63" s="12">
        <v>2</v>
      </c>
      <c r="AF63" s="12">
        <v>1</v>
      </c>
      <c r="AG63" s="12">
        <v>2</v>
      </c>
      <c r="AH63" s="12">
        <v>4</v>
      </c>
      <c r="AI63" s="12">
        <v>3</v>
      </c>
      <c r="AJ63" s="12">
        <v>3</v>
      </c>
      <c r="AK63" s="12">
        <v>2</v>
      </c>
      <c r="AL63" s="12">
        <v>3</v>
      </c>
      <c r="AM63" s="12">
        <v>3</v>
      </c>
      <c r="AN63" s="12">
        <v>3</v>
      </c>
      <c r="AO63" s="13">
        <f>IFERROR(IF(COUNT(AC63:AN63)=12,(AC63*'[1]Parameter Weights'!$F$7+AD63*'[1]Parameter Weights'!$F$9+AE63*'[1]Parameter Weights'!$F$10+AF63*'[1]Parameter Weights'!$F$11+AG63*'[1]Parameter Weights'!$F$12+AH63*'[1]Parameter Weights'!$F$13+AI63*'[1]Parameter Weights'!$F$14+AJ63*'[1]Parameter Weights'!$F$16+AK63*'[1]Parameter Weights'!$F$17+AL63*'[1]Parameter Weights'!$F$18+AM63*'[1]Parameter Weights'!$F$19+AN63*'[1]Parameter Weights'!$F$20)*20,IF(COUNT(AC63:AN63)=0,"","Incomplete")),"Check inputs")</f>
        <v>54.999999999999993</v>
      </c>
      <c r="AP63" s="14" t="s">
        <v>2</v>
      </c>
      <c r="AQ63" s="15" t="str">
        <f t="shared" si="1"/>
        <v>No</v>
      </c>
      <c r="AR63" s="15" t="s">
        <v>2</v>
      </c>
      <c r="AS63" s="9" t="str">
        <f t="shared" si="2"/>
        <v>Tier 2</v>
      </c>
      <c r="AT63" s="32" t="str">
        <f t="shared" si="3"/>
        <v>Engineering intervention, validate economics at base oil price</v>
      </c>
      <c r="AU63" s="28" t="s">
        <v>750</v>
      </c>
      <c r="AX63" s="119">
        <f t="shared" si="9"/>
        <v>13</v>
      </c>
      <c r="AY63" s="119">
        <f t="shared" si="10"/>
        <v>9</v>
      </c>
    </row>
    <row r="64" spans="1:51" ht="50.1" customHeight="1" thickBot="1">
      <c r="A64" s="20">
        <v>56</v>
      </c>
      <c r="B64" s="21" t="s">
        <v>751</v>
      </c>
      <c r="C64" s="20" t="s">
        <v>59</v>
      </c>
      <c r="D64" s="20">
        <v>736823.32</v>
      </c>
      <c r="E64" s="20">
        <v>161003.63</v>
      </c>
      <c r="F64" s="21" t="s">
        <v>674</v>
      </c>
      <c r="G64" s="21" t="s">
        <v>752</v>
      </c>
      <c r="H64" s="41" t="s">
        <v>753</v>
      </c>
      <c r="I64" s="23">
        <v>62</v>
      </c>
      <c r="J64" s="20">
        <v>65</v>
      </c>
      <c r="K64" s="23">
        <f t="shared" si="7"/>
        <v>127</v>
      </c>
      <c r="L64" s="20">
        <v>5.1694223536133899E-2</v>
      </c>
      <c r="M64" s="24">
        <v>2.43564564128529E-2</v>
      </c>
      <c r="N64" s="20" t="s">
        <v>63</v>
      </c>
      <c r="O64" s="1" t="s">
        <v>64</v>
      </c>
      <c r="P64" s="70">
        <v>42705</v>
      </c>
      <c r="Q64" s="24">
        <f t="shared" si="8"/>
        <v>10</v>
      </c>
      <c r="R64" s="24">
        <v>1.5</v>
      </c>
      <c r="S64" s="24" t="s">
        <v>754</v>
      </c>
      <c r="T64" s="26">
        <v>99.7</v>
      </c>
      <c r="U64" s="22" t="s">
        <v>755</v>
      </c>
      <c r="V64" s="22" t="s">
        <v>756</v>
      </c>
      <c r="W64" s="22" t="s">
        <v>757</v>
      </c>
      <c r="X64" s="22" t="s">
        <v>758</v>
      </c>
      <c r="Y64" s="22" t="s">
        <v>759</v>
      </c>
      <c r="Z64" s="22" t="s">
        <v>760</v>
      </c>
      <c r="AA64" s="22" t="s">
        <v>761</v>
      </c>
      <c r="AB64" s="22" t="s">
        <v>762</v>
      </c>
      <c r="AC64" s="12">
        <v>1</v>
      </c>
      <c r="AD64" s="6">
        <f t="shared" si="6"/>
        <v>2</v>
      </c>
      <c r="AE64" s="12">
        <v>2</v>
      </c>
      <c r="AF64" s="12">
        <v>1</v>
      </c>
      <c r="AG64" s="12">
        <v>3</v>
      </c>
      <c r="AH64" s="12">
        <v>4</v>
      </c>
      <c r="AI64" s="12">
        <v>3</v>
      </c>
      <c r="AJ64" s="12">
        <v>2</v>
      </c>
      <c r="AK64" s="12">
        <v>2</v>
      </c>
      <c r="AL64" s="12">
        <v>3</v>
      </c>
      <c r="AM64" s="12">
        <v>2</v>
      </c>
      <c r="AN64" s="12">
        <v>2</v>
      </c>
      <c r="AO64" s="13">
        <f>IFERROR(IF(COUNT(AC64:AN64)=12,(AC64*'[1]Parameter Weights'!$F$7+AD64*'[1]Parameter Weights'!$F$9+AE64*'[1]Parameter Weights'!$F$10+AF64*'[1]Parameter Weights'!$F$11+AG64*'[1]Parameter Weights'!$F$12+AH64*'[1]Parameter Weights'!$F$13+AI64*'[1]Parameter Weights'!$F$14+AJ64*'[1]Parameter Weights'!$F$16+AK64*'[1]Parameter Weights'!$F$17+AL64*'[1]Parameter Weights'!$F$18+AM64*'[1]Parameter Weights'!$F$19+AN64*'[1]Parameter Weights'!$F$20)*20,IF(COUNT(AC64:AN64)=0,"","Incomplete")),"Check inputs")</f>
        <v>46</v>
      </c>
      <c r="AP64" s="14" t="s">
        <v>2</v>
      </c>
      <c r="AQ64" s="15" t="str">
        <f t="shared" si="1"/>
        <v>No</v>
      </c>
      <c r="AR64" s="15" t="s">
        <v>2</v>
      </c>
      <c r="AS64" s="9" t="str">
        <f t="shared" si="2"/>
        <v>Tier 3</v>
      </c>
      <c r="AT64" s="32" t="str">
        <f t="shared" si="3"/>
        <v>Major workover, execute after Tier 1 and 2 validate economics</v>
      </c>
      <c r="AU64" s="28" t="s">
        <v>763</v>
      </c>
      <c r="AX64" s="3">
        <f t="shared" si="9"/>
        <v>9</v>
      </c>
      <c r="AY64" s="3">
        <f t="shared" si="10"/>
        <v>9</v>
      </c>
    </row>
    <row r="65" spans="1:51" ht="50.1" customHeight="1" thickBot="1">
      <c r="A65" s="20">
        <v>57</v>
      </c>
      <c r="B65" s="21" t="s">
        <v>764</v>
      </c>
      <c r="C65" s="20" t="s">
        <v>59</v>
      </c>
      <c r="D65" s="20">
        <v>751779.92</v>
      </c>
      <c r="E65" s="20">
        <v>124572.31</v>
      </c>
      <c r="F65" s="21" t="s">
        <v>765</v>
      </c>
      <c r="G65" s="21" t="s">
        <v>766</v>
      </c>
      <c r="H65" s="41" t="s">
        <v>767</v>
      </c>
      <c r="I65" s="23">
        <v>0</v>
      </c>
      <c r="J65" s="20">
        <v>270</v>
      </c>
      <c r="K65" s="23">
        <f t="shared" si="7"/>
        <v>270</v>
      </c>
      <c r="L65" s="20">
        <v>0.34265803075818901</v>
      </c>
      <c r="M65" s="24">
        <v>0.241807560412307</v>
      </c>
      <c r="N65" s="20" t="s">
        <v>63</v>
      </c>
      <c r="O65" s="1" t="s">
        <v>64</v>
      </c>
      <c r="P65" s="70">
        <v>43252</v>
      </c>
      <c r="Q65" s="24">
        <f t="shared" si="8"/>
        <v>8</v>
      </c>
      <c r="R65" s="24">
        <v>0</v>
      </c>
      <c r="S65" s="24" t="s">
        <v>768</v>
      </c>
      <c r="T65" s="26">
        <v>100</v>
      </c>
      <c r="U65" s="20" t="e">
        <f>VLOOKUP(P65,[2]Assessment!$A$4:$BO$101,19,FALSE)</f>
        <v>#N/A</v>
      </c>
      <c r="V65" s="22" t="s">
        <v>769</v>
      </c>
      <c r="W65" s="22" t="s">
        <v>770</v>
      </c>
      <c r="X65" s="22" t="s">
        <v>771</v>
      </c>
      <c r="Y65" s="22" t="s">
        <v>772</v>
      </c>
      <c r="Z65" s="22" t="s">
        <v>773</v>
      </c>
      <c r="AA65" s="22" t="s">
        <v>774</v>
      </c>
      <c r="AB65" s="22" t="s">
        <v>775</v>
      </c>
      <c r="AC65" s="12">
        <v>1</v>
      </c>
      <c r="AD65" s="6">
        <f t="shared" si="6"/>
        <v>3</v>
      </c>
      <c r="AE65" s="12">
        <v>2</v>
      </c>
      <c r="AF65" s="12">
        <v>2</v>
      </c>
      <c r="AG65" s="12">
        <v>2</v>
      </c>
      <c r="AH65" s="12">
        <v>4</v>
      </c>
      <c r="AI65" s="12">
        <v>3</v>
      </c>
      <c r="AJ65" s="12">
        <v>3</v>
      </c>
      <c r="AK65" s="12">
        <v>2</v>
      </c>
      <c r="AL65" s="12">
        <v>2</v>
      </c>
      <c r="AM65" s="12">
        <v>2</v>
      </c>
      <c r="AN65" s="12">
        <v>2</v>
      </c>
      <c r="AO65" s="13">
        <f>IFERROR(IF(COUNT(AC65:AN65)=12,(AC65*'[1]Parameter Weights'!$F$7+AD65*'[1]Parameter Weights'!$F$9+AE65*'[1]Parameter Weights'!$F$10+AF65*'[1]Parameter Weights'!$F$11+AG65*'[1]Parameter Weights'!$F$12+AH65*'[1]Parameter Weights'!$F$13+AI65*'[1]Parameter Weights'!$F$14+AJ65*'[1]Parameter Weights'!$F$16+AK65*'[1]Parameter Weights'!$F$17+AL65*'[1]Parameter Weights'!$F$18+AM65*'[1]Parameter Weights'!$F$19+AN65*'[1]Parameter Weights'!$F$20)*20,IF(COUNT(AC65:AN65)=0,"","Incomplete")),"Check inputs")</f>
        <v>48</v>
      </c>
      <c r="AP65" s="14" t="s">
        <v>2</v>
      </c>
      <c r="AQ65" s="15" t="str">
        <f t="shared" si="1"/>
        <v>No</v>
      </c>
      <c r="AR65" s="15" t="s">
        <v>2</v>
      </c>
      <c r="AS65" s="9" t="str">
        <f t="shared" si="2"/>
        <v>Tier 3</v>
      </c>
      <c r="AT65" s="32" t="str">
        <f t="shared" si="3"/>
        <v>Major workover, execute after Tier 1 and 2 validate economics</v>
      </c>
      <c r="AU65" s="28" t="s">
        <v>776</v>
      </c>
      <c r="AX65" s="3">
        <f t="shared" si="9"/>
        <v>10</v>
      </c>
      <c r="AY65" s="3">
        <f t="shared" si="10"/>
        <v>9</v>
      </c>
    </row>
    <row r="66" spans="1:51" ht="50.1" customHeight="1" thickBot="1">
      <c r="A66" s="20">
        <v>58</v>
      </c>
      <c r="B66" s="21" t="s">
        <v>777</v>
      </c>
      <c r="C66" s="20" t="s">
        <v>59</v>
      </c>
      <c r="D66" s="20">
        <v>750052.35</v>
      </c>
      <c r="E66" s="20">
        <v>123002.49</v>
      </c>
      <c r="F66" s="21" t="s">
        <v>765</v>
      </c>
      <c r="G66" s="21" t="s">
        <v>503</v>
      </c>
      <c r="H66" s="41" t="s">
        <v>778</v>
      </c>
      <c r="I66" s="23">
        <v>0</v>
      </c>
      <c r="J66" s="20">
        <v>0</v>
      </c>
      <c r="K66" s="23">
        <f t="shared" si="7"/>
        <v>0</v>
      </c>
      <c r="L66" s="20">
        <v>0.5</v>
      </c>
      <c r="M66" s="24">
        <v>0.5</v>
      </c>
      <c r="N66" s="20" t="s">
        <v>63</v>
      </c>
      <c r="O66" s="1" t="s">
        <v>64</v>
      </c>
      <c r="P66" s="70">
        <v>26806</v>
      </c>
      <c r="Q66" s="24">
        <f t="shared" si="8"/>
        <v>53</v>
      </c>
      <c r="R66" s="24">
        <v>0</v>
      </c>
      <c r="S66" s="24" t="s">
        <v>779</v>
      </c>
      <c r="T66" s="26">
        <v>100</v>
      </c>
      <c r="U66" s="22" t="s">
        <v>780</v>
      </c>
      <c r="V66" s="22" t="s">
        <v>781</v>
      </c>
      <c r="W66" s="22" t="s">
        <v>782</v>
      </c>
      <c r="X66" s="22" t="s">
        <v>783</v>
      </c>
      <c r="Y66" s="22" t="s">
        <v>784</v>
      </c>
      <c r="Z66" s="22" t="s">
        <v>785</v>
      </c>
      <c r="AA66" s="22" t="s">
        <v>786</v>
      </c>
      <c r="AB66" s="22" t="s">
        <v>787</v>
      </c>
      <c r="AC66" s="12">
        <v>1</v>
      </c>
      <c r="AD66" s="6">
        <f t="shared" si="6"/>
        <v>1</v>
      </c>
      <c r="AE66" s="12">
        <v>2</v>
      </c>
      <c r="AF66" s="12">
        <v>1</v>
      </c>
      <c r="AG66" s="12">
        <v>2</v>
      </c>
      <c r="AH66" s="12">
        <v>2</v>
      </c>
      <c r="AI66" s="12">
        <v>3</v>
      </c>
      <c r="AJ66" s="12">
        <v>2</v>
      </c>
      <c r="AK66" s="12">
        <v>1</v>
      </c>
      <c r="AL66" s="12">
        <v>3</v>
      </c>
      <c r="AM66" s="12">
        <v>2</v>
      </c>
      <c r="AN66" s="12">
        <v>1</v>
      </c>
      <c r="AO66" s="13">
        <f>IFERROR(IF(COUNT(AC66:AN66)=12,(AC66*'[1]Parameter Weights'!$F$7+AD66*'[1]Parameter Weights'!$F$9+AE66*'[1]Parameter Weights'!$F$10+AF66*'[1]Parameter Weights'!$F$11+AG66*'[1]Parameter Weights'!$F$12+AH66*'[1]Parameter Weights'!$F$13+AI66*'[1]Parameter Weights'!$F$14+AJ66*'[1]Parameter Weights'!$F$16+AK66*'[1]Parameter Weights'!$F$17+AL66*'[1]Parameter Weights'!$F$18+AM66*'[1]Parameter Weights'!$F$19+AN66*'[1]Parameter Weights'!$F$20)*20,IF(COUNT(AC66:AN66)=0,"","Incomplete")),"Check inputs")</f>
        <v>33</v>
      </c>
      <c r="AP66" s="14" t="s">
        <v>2</v>
      </c>
      <c r="AQ66" s="15" t="str">
        <f t="shared" si="1"/>
        <v>No</v>
      </c>
      <c r="AR66" s="15" t="s">
        <v>2</v>
      </c>
      <c r="AS66" s="9" t="str">
        <f t="shared" si="2"/>
        <v>Defer / Abandon</v>
      </c>
      <c r="AT66" s="32" t="str">
        <f t="shared" si="3"/>
        <v>Defer to abandonment study</v>
      </c>
      <c r="AU66" s="28" t="s">
        <v>788</v>
      </c>
      <c r="AX66" s="3">
        <f t="shared" si="9"/>
        <v>6</v>
      </c>
      <c r="AY66" s="3">
        <f t="shared" si="10"/>
        <v>6</v>
      </c>
    </row>
    <row r="67" spans="1:51" ht="50.1" customHeight="1" thickBot="1">
      <c r="A67" s="20">
        <v>59</v>
      </c>
      <c r="B67" s="21" t="s">
        <v>789</v>
      </c>
      <c r="C67" s="20" t="s">
        <v>59</v>
      </c>
      <c r="D67" s="20">
        <v>716794.57</v>
      </c>
      <c r="E67" s="20">
        <v>188943.91</v>
      </c>
      <c r="F67" s="21" t="s">
        <v>790</v>
      </c>
      <c r="G67" s="21" t="s">
        <v>791</v>
      </c>
      <c r="H67" s="41" t="s">
        <v>792</v>
      </c>
      <c r="I67" s="23">
        <v>90</v>
      </c>
      <c r="J67" s="20">
        <v>993</v>
      </c>
      <c r="K67" s="23">
        <f t="shared" si="7"/>
        <v>1083</v>
      </c>
      <c r="L67" s="20">
        <v>0.44192884783527903</v>
      </c>
      <c r="M67" s="24">
        <v>0.44192884783527903</v>
      </c>
      <c r="N67" s="20" t="s">
        <v>63</v>
      </c>
      <c r="O67" s="1" t="s">
        <v>64</v>
      </c>
      <c r="P67" s="70">
        <v>28685</v>
      </c>
      <c r="Q67" s="24">
        <f t="shared" si="8"/>
        <v>48</v>
      </c>
      <c r="R67" s="24">
        <v>16</v>
      </c>
      <c r="S67" s="24" t="s">
        <v>793</v>
      </c>
      <c r="T67" s="26">
        <v>98.9</v>
      </c>
      <c r="U67" s="22" t="s">
        <v>794</v>
      </c>
      <c r="V67" s="22" t="s">
        <v>795</v>
      </c>
      <c r="W67" s="22" t="s">
        <v>796</v>
      </c>
      <c r="X67" s="22" t="s">
        <v>797</v>
      </c>
      <c r="Y67" s="22" t="s">
        <v>798</v>
      </c>
      <c r="Z67" s="22" t="s">
        <v>799</v>
      </c>
      <c r="AA67" s="22" t="s">
        <v>800</v>
      </c>
      <c r="AB67" s="22" t="s">
        <v>801</v>
      </c>
      <c r="AC67" s="12">
        <v>1</v>
      </c>
      <c r="AD67" s="6">
        <f t="shared" si="6"/>
        <v>5</v>
      </c>
      <c r="AE67" s="12">
        <v>1</v>
      </c>
      <c r="AF67" s="12">
        <v>1</v>
      </c>
      <c r="AG67" s="12">
        <v>2</v>
      </c>
      <c r="AH67" s="12">
        <v>3</v>
      </c>
      <c r="AI67" s="12">
        <v>3</v>
      </c>
      <c r="AJ67" s="12">
        <v>2</v>
      </c>
      <c r="AK67" s="12">
        <v>1</v>
      </c>
      <c r="AL67" s="12">
        <v>2</v>
      </c>
      <c r="AM67" s="12">
        <v>1</v>
      </c>
      <c r="AN67" s="12">
        <v>2</v>
      </c>
      <c r="AO67" s="13">
        <f>IFERROR(IF(COUNT(AC67:AN67)=12,(AC67*'[1]Parameter Weights'!$F$7+AD67*'[1]Parameter Weights'!$F$9+AE67*'[1]Parameter Weights'!$F$10+AF67*'[1]Parameter Weights'!$F$11+AG67*'[1]Parameter Weights'!$F$12+AH67*'[1]Parameter Weights'!$F$13+AI67*'[1]Parameter Weights'!$F$14+AJ67*'[1]Parameter Weights'!$F$16+AK67*'[1]Parameter Weights'!$F$17+AL67*'[1]Parameter Weights'!$F$18+AM67*'[1]Parameter Weights'!$F$19+AN67*'[1]Parameter Weights'!$F$20)*20,IF(COUNT(AC67:AN67)=0,"","Incomplete")),"Check inputs")</f>
        <v>45</v>
      </c>
      <c r="AP67" s="14" t="s">
        <v>2</v>
      </c>
      <c r="AQ67" s="15" t="str">
        <f t="shared" si="1"/>
        <v>No</v>
      </c>
      <c r="AR67" s="15" t="s">
        <v>2</v>
      </c>
      <c r="AS67" s="9" t="str">
        <f t="shared" si="2"/>
        <v>Tier 3</v>
      </c>
      <c r="AT67" s="32" t="str">
        <f t="shared" si="3"/>
        <v>Major workover, execute after Tier 1 and 2 validate economics</v>
      </c>
      <c r="AU67" s="28" t="s">
        <v>802</v>
      </c>
      <c r="AX67" s="3">
        <f t="shared" si="9"/>
        <v>10</v>
      </c>
      <c r="AY67" s="3">
        <f t="shared" si="10"/>
        <v>7</v>
      </c>
    </row>
    <row r="68" spans="1:51" ht="50.1" customHeight="1" thickBot="1">
      <c r="A68" s="21">
        <v>60</v>
      </c>
      <c r="B68" s="21" t="s">
        <v>803</v>
      </c>
      <c r="C68" s="20" t="s">
        <v>59</v>
      </c>
      <c r="D68" s="20" t="s">
        <v>76</v>
      </c>
      <c r="E68" s="20" t="s">
        <v>76</v>
      </c>
      <c r="F68" s="21" t="s">
        <v>804</v>
      </c>
      <c r="G68" s="21" t="s">
        <v>805</v>
      </c>
      <c r="H68" s="41" t="s">
        <v>806</v>
      </c>
      <c r="I68" s="23">
        <v>491.05171639999998</v>
      </c>
      <c r="J68" s="20">
        <v>0</v>
      </c>
      <c r="K68" s="23">
        <f t="shared" si="7"/>
        <v>491.05171639999998</v>
      </c>
      <c r="L68" s="20"/>
      <c r="M68" s="20"/>
      <c r="N68" s="20" t="s">
        <v>63</v>
      </c>
      <c r="O68" s="1" t="s">
        <v>64</v>
      </c>
      <c r="P68" s="70">
        <v>40238</v>
      </c>
      <c r="Q68" s="24">
        <f t="shared" si="8"/>
        <v>16</v>
      </c>
      <c r="R68" s="24">
        <v>0</v>
      </c>
      <c r="S68" s="24" t="s">
        <v>807</v>
      </c>
      <c r="T68" s="20" t="e">
        <f>VLOOKUP(N68,[2]Assessment!$A$4:$BO$101,19,FALSE)</f>
        <v>#N/A</v>
      </c>
      <c r="U68" s="20" t="e">
        <f>VLOOKUP(P68,[2]Assessment!$A$4:$BO$101,19,FALSE)</f>
        <v>#N/A</v>
      </c>
      <c r="V68" s="22" t="s">
        <v>808</v>
      </c>
      <c r="W68" s="22" t="s">
        <v>809</v>
      </c>
      <c r="X68" s="22" t="s">
        <v>810</v>
      </c>
      <c r="Y68" s="22" t="s">
        <v>811</v>
      </c>
      <c r="Z68" s="22" t="s">
        <v>812</v>
      </c>
      <c r="AA68" s="22" t="s">
        <v>813</v>
      </c>
      <c r="AB68" s="22" t="s">
        <v>814</v>
      </c>
      <c r="AC68" s="11">
        <v>1</v>
      </c>
      <c r="AD68" s="6">
        <f>IF(I68&gt;600,5,
IF(I68&gt;300,4,
IF(I68&gt;150,3,
IF(I68&gt;50,2,1))))</f>
        <v>4</v>
      </c>
      <c r="AE68" s="11">
        <v>4</v>
      </c>
      <c r="AF68" s="11">
        <v>3</v>
      </c>
      <c r="AG68" s="11">
        <v>3</v>
      </c>
      <c r="AH68" s="11">
        <v>5</v>
      </c>
      <c r="AI68" s="11">
        <v>3</v>
      </c>
      <c r="AJ68" s="11">
        <v>3</v>
      </c>
      <c r="AK68" s="11">
        <v>3</v>
      </c>
      <c r="AL68" s="11">
        <v>3</v>
      </c>
      <c r="AM68" s="11">
        <v>3</v>
      </c>
      <c r="AN68" s="11">
        <v>4</v>
      </c>
      <c r="AO68" s="7">
        <f>IFERROR(IF(COUNT(AC68:AN68)=12,(AC68*'[1]Parameter Weights'!$F$7+AD68*'[1]Parameter Weights'!$F$9+AE68*'[1]Parameter Weights'!$F$10+AF68*'[1]Parameter Weights'!$F$11+AG68*'[1]Parameter Weights'!$F$12+AH68*'[1]Parameter Weights'!$F$13+AI68*'[1]Parameter Weights'!$F$14+AJ68*'[1]Parameter Weights'!$F$16+AK68*'[1]Parameter Weights'!$F$17+AL68*'[1]Parameter Weights'!$F$18+AM68*'[1]Parameter Weights'!$F$19+AN68*'[1]Parameter Weights'!$F$20)*20,IF(COUNT(AC68:AN68)=0,"","Incomplete")),"Check inputs")</f>
        <v>65</v>
      </c>
      <c r="AP68" s="8" t="s">
        <v>2</v>
      </c>
      <c r="AQ68" s="9" t="str">
        <f t="shared" si="1"/>
        <v>No</v>
      </c>
      <c r="AR68" s="9" t="s">
        <v>2</v>
      </c>
      <c r="AS68" s="9" t="str">
        <f t="shared" ref="AS68:AS109" si="11">IF(AO68="","",IF(OR(AP68="YES",AQ68="YES",AR68="YES"),"Excluded",IF(AO68="Incomplete","Pending",IF(AO68&gt;=75,"Tier 1",IF(AO68&gt;=55,"Tier 2",IF(AO68&gt;=35,"Tier 3","Defer / Abandon"))))))</f>
        <v>Tier 2</v>
      </c>
      <c r="AT68" s="27" t="str">
        <f t="shared" si="3"/>
        <v>Engineering intervention, validate economics at base oil price</v>
      </c>
      <c r="AU68" s="28" t="s">
        <v>815</v>
      </c>
    </row>
    <row r="69" spans="1:51" ht="50.1" customHeight="1" thickBot="1">
      <c r="A69" s="21">
        <v>61</v>
      </c>
      <c r="B69" s="21" t="s">
        <v>816</v>
      </c>
      <c r="C69" s="20" t="s">
        <v>59</v>
      </c>
      <c r="D69" s="20" t="s">
        <v>76</v>
      </c>
      <c r="E69" s="20" t="s">
        <v>76</v>
      </c>
      <c r="F69" s="21" t="s">
        <v>817</v>
      </c>
      <c r="G69" s="21" t="s">
        <v>818</v>
      </c>
      <c r="H69" s="41" t="s">
        <v>819</v>
      </c>
      <c r="I69" s="23">
        <v>392.84137320000002</v>
      </c>
      <c r="J69" s="20">
        <v>0</v>
      </c>
      <c r="K69" s="23">
        <f t="shared" si="7"/>
        <v>392.84137320000002</v>
      </c>
      <c r="L69" s="20"/>
      <c r="M69" s="20"/>
      <c r="N69" s="20" t="s">
        <v>63</v>
      </c>
      <c r="O69" s="1" t="s">
        <v>64</v>
      </c>
      <c r="P69" s="70">
        <v>39479</v>
      </c>
      <c r="Q69" s="24">
        <f t="shared" si="8"/>
        <v>18</v>
      </c>
      <c r="R69" s="24">
        <v>0</v>
      </c>
      <c r="S69" s="24" t="s">
        <v>807</v>
      </c>
      <c r="T69" s="20" t="e">
        <f>VLOOKUP(N69,[2]Assessment!$A$4:$BO$101,19,FALSE)</f>
        <v>#N/A</v>
      </c>
      <c r="U69" s="20" t="e">
        <f>VLOOKUP(P69,[2]Assessment!$A$4:$BO$101,19,FALSE)</f>
        <v>#N/A</v>
      </c>
      <c r="V69" s="22" t="s">
        <v>820</v>
      </c>
      <c r="W69" s="22" t="s">
        <v>821</v>
      </c>
      <c r="X69" s="22" t="s">
        <v>822</v>
      </c>
      <c r="Y69" s="22" t="s">
        <v>823</v>
      </c>
      <c r="Z69" s="22" t="s">
        <v>824</v>
      </c>
      <c r="AA69" s="22" t="s">
        <v>825</v>
      </c>
      <c r="AB69" s="22" t="s">
        <v>826</v>
      </c>
      <c r="AC69" s="11">
        <v>4</v>
      </c>
      <c r="AD69" s="6">
        <f>IF(I69&gt;600,5,
IF(I69&gt;300,4,
IF(I69&gt;150,3,
IF(I69&gt;50,2,1))))</f>
        <v>4</v>
      </c>
      <c r="AE69" s="11">
        <v>2</v>
      </c>
      <c r="AF69" s="11">
        <v>3</v>
      </c>
      <c r="AG69" s="11">
        <v>3</v>
      </c>
      <c r="AH69" s="11">
        <v>5</v>
      </c>
      <c r="AI69" s="11">
        <v>3</v>
      </c>
      <c r="AJ69" s="11">
        <v>3</v>
      </c>
      <c r="AK69" s="11">
        <v>2</v>
      </c>
      <c r="AL69" s="11">
        <v>3</v>
      </c>
      <c r="AM69" s="11">
        <v>3</v>
      </c>
      <c r="AN69" s="11">
        <v>3</v>
      </c>
      <c r="AO69" s="7">
        <f>IFERROR(IF(COUNT(AC69:AN69)=12,(AC69*'[1]Parameter Weights'!$F$7+AD69*'[1]Parameter Weights'!$F$9+AE69*'[1]Parameter Weights'!$F$10+AF69*'[1]Parameter Weights'!$F$11+AG69*'[1]Parameter Weights'!$F$12+AH69*'[1]Parameter Weights'!$F$13+AI69*'[1]Parameter Weights'!$F$14+AJ69*'[1]Parameter Weights'!$F$16+AK69*'[1]Parameter Weights'!$F$17+AL69*'[1]Parameter Weights'!$F$18+AM69*'[1]Parameter Weights'!$F$19+AN69*'[1]Parameter Weights'!$F$20)*20,IF(COUNT(AC69:AN69)=0,"","Incomplete")),"Check inputs")</f>
        <v>66</v>
      </c>
      <c r="AP69" s="8" t="s">
        <v>2</v>
      </c>
      <c r="AQ69" s="9" t="str">
        <f t="shared" si="1"/>
        <v>No</v>
      </c>
      <c r="AR69" s="9" t="s">
        <v>2</v>
      </c>
      <c r="AS69" s="9" t="str">
        <f t="shared" si="11"/>
        <v>Tier 2</v>
      </c>
      <c r="AT69" s="27" t="str">
        <f t="shared" si="3"/>
        <v>Engineering intervention, validate economics at base oil price</v>
      </c>
      <c r="AU69" s="28" t="s">
        <v>827</v>
      </c>
    </row>
    <row r="70" spans="1:51" ht="50.1" customHeight="1" thickBot="1">
      <c r="A70" s="21">
        <v>62</v>
      </c>
      <c r="B70" s="21" t="s">
        <v>828</v>
      </c>
      <c r="C70" s="20" t="s">
        <v>59</v>
      </c>
      <c r="D70" s="20" t="s">
        <v>76</v>
      </c>
      <c r="E70" s="20" t="s">
        <v>76</v>
      </c>
      <c r="F70" s="21" t="s">
        <v>829</v>
      </c>
      <c r="G70" s="21" t="s">
        <v>830</v>
      </c>
      <c r="H70" s="41" t="s">
        <v>831</v>
      </c>
      <c r="I70" s="23">
        <v>491.05171639999998</v>
      </c>
      <c r="J70" s="20">
        <v>0</v>
      </c>
      <c r="K70" s="23">
        <f t="shared" si="7"/>
        <v>491.05171639999998</v>
      </c>
      <c r="L70" s="20"/>
      <c r="M70" s="20"/>
      <c r="N70" s="20" t="s">
        <v>63</v>
      </c>
      <c r="O70" s="1" t="s">
        <v>64</v>
      </c>
      <c r="P70" s="70">
        <v>40848</v>
      </c>
      <c r="Q70" s="24">
        <f t="shared" si="8"/>
        <v>15</v>
      </c>
      <c r="R70" s="24">
        <v>0</v>
      </c>
      <c r="S70" s="24" t="s">
        <v>807</v>
      </c>
      <c r="T70" s="20" t="e">
        <f>VLOOKUP(N70,[2]Assessment!$A$4:$BO$101,19,FALSE)</f>
        <v>#N/A</v>
      </c>
      <c r="U70" s="20" t="e">
        <f>VLOOKUP(P70,[2]Assessment!$A$4:$BO$101,19,FALSE)</f>
        <v>#N/A</v>
      </c>
      <c r="V70" s="22" t="s">
        <v>832</v>
      </c>
      <c r="W70" s="22" t="s">
        <v>833</v>
      </c>
      <c r="X70" s="22" t="s">
        <v>834</v>
      </c>
      <c r="Y70" s="22" t="s">
        <v>835</v>
      </c>
      <c r="Z70" s="22" t="s">
        <v>836</v>
      </c>
      <c r="AA70" s="22" t="s">
        <v>837</v>
      </c>
      <c r="AB70" s="22" t="s">
        <v>838</v>
      </c>
      <c r="AC70" s="11">
        <v>3</v>
      </c>
      <c r="AD70" s="6">
        <f>IF(I70&gt;600,5,
IF(I70&gt;300,4,
IF(I70&gt;150,3,
IF(I70&gt;50,2,1))))</f>
        <v>4</v>
      </c>
      <c r="AE70" s="11">
        <v>5</v>
      </c>
      <c r="AF70" s="11">
        <v>3</v>
      </c>
      <c r="AG70" s="11">
        <v>2</v>
      </c>
      <c r="AH70" s="11">
        <v>5</v>
      </c>
      <c r="AI70" s="11">
        <v>3</v>
      </c>
      <c r="AJ70" s="11">
        <v>3</v>
      </c>
      <c r="AK70" s="11">
        <v>3</v>
      </c>
      <c r="AL70" s="11">
        <v>4</v>
      </c>
      <c r="AM70" s="11">
        <v>3</v>
      </c>
      <c r="AN70" s="11">
        <v>4</v>
      </c>
      <c r="AO70" s="7">
        <f>IFERROR(IF(COUNT(AC70:AN70)=12,(AC70*'[1]Parameter Weights'!$F$7+AD70*'[1]Parameter Weights'!$F$9+AE70*'[1]Parameter Weights'!$F$10+AF70*'[1]Parameter Weights'!$F$11+AG70*'[1]Parameter Weights'!$F$12+AH70*'[1]Parameter Weights'!$F$13+AI70*'[1]Parameter Weights'!$F$14+AJ70*'[1]Parameter Weights'!$F$16+AK70*'[1]Parameter Weights'!$F$17+AL70*'[1]Parameter Weights'!$F$18+AM70*'[1]Parameter Weights'!$F$19+AN70*'[1]Parameter Weights'!$F$20)*20,IF(COUNT(AC70:AN70)=0,"","Incomplete")),"Check inputs")</f>
        <v>68</v>
      </c>
      <c r="AP70" s="8" t="s">
        <v>2</v>
      </c>
      <c r="AQ70" s="9" t="str">
        <f t="shared" si="1"/>
        <v>No</v>
      </c>
      <c r="AR70" s="9" t="s">
        <v>2</v>
      </c>
      <c r="AS70" s="9" t="str">
        <f t="shared" si="11"/>
        <v>Tier 2</v>
      </c>
      <c r="AT70" s="27" t="str">
        <f t="shared" si="3"/>
        <v>Engineering intervention, validate economics at base oil price</v>
      </c>
      <c r="AU70" s="28" t="s">
        <v>839</v>
      </c>
    </row>
    <row r="71" spans="1:51" ht="50.1" customHeight="1" thickBot="1">
      <c r="A71" s="21">
        <v>63</v>
      </c>
      <c r="B71" s="21" t="s">
        <v>840</v>
      </c>
      <c r="C71" s="20" t="s">
        <v>59</v>
      </c>
      <c r="D71" s="20" t="s">
        <v>76</v>
      </c>
      <c r="E71" s="20" t="s">
        <v>76</v>
      </c>
      <c r="F71" s="21" t="s">
        <v>841</v>
      </c>
      <c r="G71" s="21" t="s">
        <v>842</v>
      </c>
      <c r="H71" s="41" t="s">
        <v>843</v>
      </c>
      <c r="I71" s="23">
        <v>491.05171639999998</v>
      </c>
      <c r="J71" s="20">
        <v>0</v>
      </c>
      <c r="K71" s="23">
        <f t="shared" si="7"/>
        <v>491.05171639999998</v>
      </c>
      <c r="L71" s="20"/>
      <c r="M71" s="20"/>
      <c r="N71" s="20" t="s">
        <v>63</v>
      </c>
      <c r="O71" s="1" t="s">
        <v>64</v>
      </c>
      <c r="P71" s="70">
        <v>39692</v>
      </c>
      <c r="Q71" s="24">
        <f t="shared" si="8"/>
        <v>18</v>
      </c>
      <c r="R71" s="24">
        <v>0</v>
      </c>
      <c r="S71" s="24" t="s">
        <v>807</v>
      </c>
      <c r="T71" s="20" t="e">
        <f>VLOOKUP(N71,[2]Assessment!$A$4:$BO$101,19,FALSE)</f>
        <v>#N/A</v>
      </c>
      <c r="U71" s="20" t="e">
        <f>VLOOKUP(P71,[2]Assessment!$A$4:$BO$101,19,FALSE)</f>
        <v>#N/A</v>
      </c>
      <c r="V71" s="22" t="s">
        <v>844</v>
      </c>
      <c r="W71" s="22" t="s">
        <v>845</v>
      </c>
      <c r="X71" s="22" t="s">
        <v>846</v>
      </c>
      <c r="Y71" s="22" t="s">
        <v>847</v>
      </c>
      <c r="Z71" s="22" t="s">
        <v>848</v>
      </c>
      <c r="AA71" s="22" t="s">
        <v>849</v>
      </c>
      <c r="AB71" s="22" t="s">
        <v>850</v>
      </c>
      <c r="AC71" s="11">
        <v>2</v>
      </c>
      <c r="AD71" s="6">
        <f>IF(I71&gt;600,5,
IF(I71&gt;300,4,
IF(I71&gt;150,3,
IF(I71&gt;50,2,1))))</f>
        <v>4</v>
      </c>
      <c r="AE71" s="11">
        <v>2</v>
      </c>
      <c r="AF71" s="11">
        <v>2</v>
      </c>
      <c r="AG71" s="11">
        <v>3</v>
      </c>
      <c r="AH71" s="11">
        <v>4</v>
      </c>
      <c r="AI71" s="11">
        <v>3</v>
      </c>
      <c r="AJ71" s="11">
        <v>3</v>
      </c>
      <c r="AK71" s="11">
        <v>2</v>
      </c>
      <c r="AL71" s="11">
        <v>2</v>
      </c>
      <c r="AM71" s="11">
        <v>2</v>
      </c>
      <c r="AN71" s="11">
        <v>2</v>
      </c>
      <c r="AO71" s="7">
        <f>IFERROR(IF(COUNT(AC71:AN71)=12,(AC71*'[1]Parameter Weights'!$F$7+AD71*'[1]Parameter Weights'!$F$9+AE71*'[1]Parameter Weights'!$F$10+AF71*'[1]Parameter Weights'!$F$11+AG71*'[1]Parameter Weights'!$F$12+AH71*'[1]Parameter Weights'!$F$13+AI71*'[1]Parameter Weights'!$F$14+AJ71*'[1]Parameter Weights'!$F$16+AK71*'[1]Parameter Weights'!$F$17+AL71*'[1]Parameter Weights'!$F$18+AM71*'[1]Parameter Weights'!$F$19+AN71*'[1]Parameter Weights'!$F$20)*20,IF(COUNT(AC71:AN71)=0,"","Incomplete")),"Check inputs")</f>
        <v>56.000000000000007</v>
      </c>
      <c r="AP71" s="8" t="s">
        <v>2</v>
      </c>
      <c r="AQ71" s="9" t="str">
        <f t="shared" si="1"/>
        <v>No</v>
      </c>
      <c r="AR71" s="9" t="s">
        <v>2</v>
      </c>
      <c r="AS71" s="9" t="str">
        <f t="shared" si="11"/>
        <v>Tier 2</v>
      </c>
      <c r="AT71" s="27" t="str">
        <f t="shared" si="3"/>
        <v>Engineering intervention, validate economics at base oil price</v>
      </c>
      <c r="AU71" s="28" t="s">
        <v>851</v>
      </c>
    </row>
    <row r="72" spans="1:51" ht="50.1" customHeight="1" thickBot="1">
      <c r="A72" s="21">
        <v>64</v>
      </c>
      <c r="B72" s="21" t="s">
        <v>852</v>
      </c>
      <c r="C72" s="20" t="s">
        <v>59</v>
      </c>
      <c r="D72" s="20">
        <v>747841.3</v>
      </c>
      <c r="E72" s="20">
        <v>146464.79999999999</v>
      </c>
      <c r="F72" s="21" t="s">
        <v>853</v>
      </c>
      <c r="G72" s="21" t="s">
        <v>854</v>
      </c>
      <c r="H72" s="41" t="s">
        <v>855</v>
      </c>
      <c r="I72" s="23">
        <v>883.89308960000005</v>
      </c>
      <c r="J72" s="20">
        <v>0</v>
      </c>
      <c r="K72" s="23">
        <f t="shared" si="7"/>
        <v>883.89308960000005</v>
      </c>
      <c r="L72" s="20"/>
      <c r="M72" s="20"/>
      <c r="N72" s="20" t="s">
        <v>63</v>
      </c>
      <c r="O72" s="1" t="s">
        <v>64</v>
      </c>
      <c r="P72" s="70">
        <v>43252</v>
      </c>
      <c r="Q72" s="24">
        <f t="shared" si="8"/>
        <v>8</v>
      </c>
      <c r="R72" s="24">
        <v>0</v>
      </c>
      <c r="S72" s="24" t="s">
        <v>807</v>
      </c>
      <c r="T72" s="20" t="e">
        <f>VLOOKUP(N72,[2]Assessment!$A$4:$BO$101,19,FALSE)</f>
        <v>#N/A</v>
      </c>
      <c r="U72" s="20" t="e">
        <f>VLOOKUP(P72,[2]Assessment!$A$4:$BO$101,19,FALSE)</f>
        <v>#N/A</v>
      </c>
      <c r="V72" s="22" t="s">
        <v>856</v>
      </c>
      <c r="W72" s="22" t="s">
        <v>807</v>
      </c>
      <c r="X72" s="22" t="s">
        <v>857</v>
      </c>
      <c r="Y72" s="22" t="s">
        <v>858</v>
      </c>
      <c r="Z72" s="22" t="s">
        <v>859</v>
      </c>
      <c r="AA72" s="22" t="s">
        <v>860</v>
      </c>
      <c r="AB72" s="22" t="s">
        <v>861</v>
      </c>
      <c r="AC72" s="11">
        <v>3</v>
      </c>
      <c r="AD72" s="6">
        <f>IF(I72&gt;600,5,
IF(I72&gt;300,4,
IF(I72&gt;150,3,
IF(I72&gt;50,2,1))))</f>
        <v>5</v>
      </c>
      <c r="AE72" s="11">
        <v>3</v>
      </c>
      <c r="AF72" s="11">
        <v>3</v>
      </c>
      <c r="AG72" s="11">
        <v>3</v>
      </c>
      <c r="AH72" s="11">
        <v>4</v>
      </c>
      <c r="AI72" s="11">
        <v>3</v>
      </c>
      <c r="AJ72" s="11">
        <v>4</v>
      </c>
      <c r="AK72" s="11">
        <v>3</v>
      </c>
      <c r="AL72" s="11">
        <v>3</v>
      </c>
      <c r="AM72" s="11">
        <v>3</v>
      </c>
      <c r="AN72" s="11">
        <v>3</v>
      </c>
      <c r="AO72" s="7">
        <f>IFERROR(IF(COUNT(AC72:AN72)=12,(AC72*'[1]Parameter Weights'!$F$7+AD72*'[1]Parameter Weights'!$F$9+AE72*'[1]Parameter Weights'!$F$10+AF72*'[1]Parameter Weights'!$F$11+AG72*'[1]Parameter Weights'!$F$12+AH72*'[1]Parameter Weights'!$F$13+AI72*'[1]Parameter Weights'!$F$14+AJ72*'[1]Parameter Weights'!$F$16+AK72*'[1]Parameter Weights'!$F$17+AL72*'[1]Parameter Weights'!$F$18+AM72*'[1]Parameter Weights'!$F$19+AN72*'[1]Parameter Weights'!$F$20)*20,IF(COUNT(AC72:AN72)=0,"","Incomplete")),"Check inputs")</f>
        <v>69.999999999999986</v>
      </c>
      <c r="AP72" s="8" t="s">
        <v>2</v>
      </c>
      <c r="AQ72" s="9" t="str">
        <f t="shared" ref="AQ72:AQ109" si="12">IF(AG72="","",IF(AG72=1,"YES","No"))</f>
        <v>No</v>
      </c>
      <c r="AR72" s="9" t="s">
        <v>2</v>
      </c>
      <c r="AS72" s="9" t="str">
        <f t="shared" si="11"/>
        <v>Tier 2</v>
      </c>
      <c r="AT72" s="27" t="str">
        <f t="shared" ref="AT72:AT109" si="13">IF(AS72="","",IF(AS72="Excluded","Resolve knockout before screening (HSE / Integrity / Facility)",IF(AS72="Pending","Complete scoring inputs",IF(AS72="Tier 1","Quick win: surface or rigless intervention, fast payout",IF(AS72="Tier 2","Engineering intervention, validate economics at base oil price",IF(AS72="Tier 3","Major workover, execute after Tier 1 and 2 validate economics","Defer to abandonment study"))))))</f>
        <v>Engineering intervention, validate economics at base oil price</v>
      </c>
      <c r="AU72" s="28" t="s">
        <v>862</v>
      </c>
    </row>
    <row r="73" spans="1:51" ht="50.1" customHeight="1" thickBot="1">
      <c r="A73" s="21">
        <v>65</v>
      </c>
      <c r="B73" s="21" t="s">
        <v>863</v>
      </c>
      <c r="C73" s="20" t="s">
        <v>59</v>
      </c>
      <c r="D73" s="20">
        <v>737510.55</v>
      </c>
      <c r="E73" s="20">
        <v>131911.54</v>
      </c>
      <c r="F73" s="21" t="s">
        <v>864</v>
      </c>
      <c r="G73" s="21" t="s">
        <v>76</v>
      </c>
      <c r="H73" s="41" t="s">
        <v>865</v>
      </c>
      <c r="I73" s="23">
        <v>1108.3738739999999</v>
      </c>
      <c r="J73" s="20">
        <v>0</v>
      </c>
      <c r="K73" s="23">
        <f t="shared" si="7"/>
        <v>1108.3738739999999</v>
      </c>
      <c r="L73" s="20"/>
      <c r="M73" s="20"/>
      <c r="N73" s="20" t="s">
        <v>63</v>
      </c>
      <c r="O73" s="1" t="s">
        <v>64</v>
      </c>
      <c r="P73" s="70" t="s">
        <v>76</v>
      </c>
      <c r="Q73" s="24" t="s">
        <v>76</v>
      </c>
      <c r="R73" s="24">
        <v>0</v>
      </c>
      <c r="S73" s="24" t="s">
        <v>807</v>
      </c>
      <c r="T73" s="20" t="e">
        <f>VLOOKUP(N73,[2]Assessment!$A$4:$BO$101,19,FALSE)</f>
        <v>#N/A</v>
      </c>
      <c r="U73" s="20" t="e">
        <f>VLOOKUP(P73,[2]Assessment!$A$4:$BO$101,19,FALSE)</f>
        <v>#N/A</v>
      </c>
      <c r="V73" s="29" t="s">
        <v>866</v>
      </c>
      <c r="W73" s="22" t="s">
        <v>867</v>
      </c>
      <c r="X73" s="22" t="s">
        <v>868</v>
      </c>
      <c r="Y73" s="22" t="s">
        <v>76</v>
      </c>
      <c r="Z73" s="22" t="s">
        <v>869</v>
      </c>
      <c r="AA73" s="22" t="s">
        <v>870</v>
      </c>
      <c r="AB73" s="22" t="s">
        <v>871</v>
      </c>
      <c r="AC73" s="11">
        <v>3</v>
      </c>
      <c r="AD73" s="6">
        <f t="shared" ref="AD73:AD109" si="14">IF(I73&gt;600,5,
IF(I73&gt;300,4,
IF(I73&gt;150,3,
IF(I73&gt;50,2,1))))</f>
        <v>5</v>
      </c>
      <c r="AE73" s="11">
        <v>3</v>
      </c>
      <c r="AF73" s="11">
        <v>3</v>
      </c>
      <c r="AG73" s="11">
        <v>3</v>
      </c>
      <c r="AH73" s="11">
        <v>4</v>
      </c>
      <c r="AI73" s="11">
        <v>3</v>
      </c>
      <c r="AJ73" s="11">
        <v>4</v>
      </c>
      <c r="AK73" s="11">
        <v>3</v>
      </c>
      <c r="AL73" s="11">
        <v>2</v>
      </c>
      <c r="AM73" s="11">
        <v>2</v>
      </c>
      <c r="AN73" s="11">
        <v>3</v>
      </c>
      <c r="AO73" s="7">
        <f>IFERROR(IF(COUNT(AC73:AN73)=12,(AC73*'[1]Parameter Weights'!$F$7+AD73*'[1]Parameter Weights'!$F$9+AE73*'[1]Parameter Weights'!$F$10+AF73*'[1]Parameter Weights'!$F$11+AG73*'[1]Parameter Weights'!$F$12+AH73*'[1]Parameter Weights'!$F$13+AI73*'[1]Parameter Weights'!$F$14+AJ73*'[1]Parameter Weights'!$F$16+AK73*'[1]Parameter Weights'!$F$17+AL73*'[1]Parameter Weights'!$F$18+AM73*'[1]Parameter Weights'!$F$19+AN73*'[1]Parameter Weights'!$F$20)*20,IF(COUNT(AC73:AN73)=0,"","Incomplete")),"Check inputs")</f>
        <v>68</v>
      </c>
      <c r="AP73" s="8" t="s">
        <v>2</v>
      </c>
      <c r="AQ73" s="9" t="str">
        <f t="shared" si="12"/>
        <v>No</v>
      </c>
      <c r="AR73" s="9" t="s">
        <v>2</v>
      </c>
      <c r="AS73" s="9" t="str">
        <f t="shared" si="11"/>
        <v>Tier 2</v>
      </c>
      <c r="AT73" s="27" t="str">
        <f t="shared" si="13"/>
        <v>Engineering intervention, validate economics at base oil price</v>
      </c>
      <c r="AU73" s="28" t="s">
        <v>872</v>
      </c>
    </row>
    <row r="74" spans="1:51" ht="50.1" customHeight="1" thickBot="1">
      <c r="A74" s="21">
        <v>66</v>
      </c>
      <c r="B74" s="21" t="s">
        <v>873</v>
      </c>
      <c r="C74" s="20" t="s">
        <v>59</v>
      </c>
      <c r="D74" s="20" t="s">
        <v>76</v>
      </c>
      <c r="E74" s="20" t="s">
        <v>76</v>
      </c>
      <c r="F74" s="21" t="s">
        <v>874</v>
      </c>
      <c r="G74" s="21" t="s">
        <v>875</v>
      </c>
      <c r="H74" s="41" t="s">
        <v>876</v>
      </c>
      <c r="I74" s="23">
        <v>757.62264819999996</v>
      </c>
      <c r="J74" s="20">
        <v>0</v>
      </c>
      <c r="K74" s="23">
        <f t="shared" si="7"/>
        <v>757.62264819999996</v>
      </c>
      <c r="L74" s="20"/>
      <c r="M74" s="20"/>
      <c r="N74" s="20" t="s">
        <v>63</v>
      </c>
      <c r="O74" s="1" t="s">
        <v>64</v>
      </c>
      <c r="P74" s="70">
        <v>38412</v>
      </c>
      <c r="Q74" s="24">
        <f>2026-YEAR(P74)</f>
        <v>21</v>
      </c>
      <c r="R74" s="24">
        <v>0</v>
      </c>
      <c r="S74" s="24" t="s">
        <v>807</v>
      </c>
      <c r="T74" s="20" t="e">
        <f>VLOOKUP(N74,[2]Assessment!$A$4:$BO$101,19,FALSE)</f>
        <v>#N/A</v>
      </c>
      <c r="U74" s="20" t="e">
        <f>VLOOKUP(P74,[2]Assessment!$A$4:$BO$101,19,FALSE)</f>
        <v>#N/A</v>
      </c>
      <c r="V74" s="22" t="s">
        <v>877</v>
      </c>
      <c r="W74" s="21" t="s">
        <v>878</v>
      </c>
      <c r="X74" s="22" t="s">
        <v>879</v>
      </c>
      <c r="Y74" s="22" t="s">
        <v>880</v>
      </c>
      <c r="Z74" s="22" t="s">
        <v>881</v>
      </c>
      <c r="AA74" s="22" t="s">
        <v>882</v>
      </c>
      <c r="AB74" s="22" t="s">
        <v>883</v>
      </c>
      <c r="AC74" s="11">
        <v>1</v>
      </c>
      <c r="AD74" s="6">
        <f t="shared" si="14"/>
        <v>5</v>
      </c>
      <c r="AE74" s="11">
        <v>2</v>
      </c>
      <c r="AF74" s="11">
        <v>3</v>
      </c>
      <c r="AG74" s="11">
        <v>3</v>
      </c>
      <c r="AH74" s="11">
        <v>5</v>
      </c>
      <c r="AI74" s="11">
        <v>3</v>
      </c>
      <c r="AJ74" s="11">
        <v>4</v>
      </c>
      <c r="AK74" s="11">
        <v>2</v>
      </c>
      <c r="AL74" s="11">
        <v>2</v>
      </c>
      <c r="AM74" s="11">
        <v>2</v>
      </c>
      <c r="AN74" s="11">
        <v>2</v>
      </c>
      <c r="AO74" s="7">
        <f>IFERROR(IF(COUNT(AC74:AN74)=12,(AC74*'[1]Parameter Weights'!$F$7+AD74*'[1]Parameter Weights'!$F$9+AE74*'[1]Parameter Weights'!$F$10+AF74*'[1]Parameter Weights'!$F$11+AG74*'[1]Parameter Weights'!$F$12+AH74*'[1]Parameter Weights'!$F$13+AI74*'[1]Parameter Weights'!$F$14+AJ74*'[1]Parameter Weights'!$F$16+AK74*'[1]Parameter Weights'!$F$17+AL74*'[1]Parameter Weights'!$F$18+AM74*'[1]Parameter Weights'!$F$19+AN74*'[1]Parameter Weights'!$F$20)*20,IF(COUNT(AC74:AN74)=0,"","Incomplete")),"Check inputs")</f>
        <v>62</v>
      </c>
      <c r="AP74" s="8" t="s">
        <v>2</v>
      </c>
      <c r="AQ74" s="9" t="str">
        <f t="shared" si="12"/>
        <v>No</v>
      </c>
      <c r="AR74" s="9" t="s">
        <v>2</v>
      </c>
      <c r="AS74" s="9" t="str">
        <f t="shared" si="11"/>
        <v>Tier 2</v>
      </c>
      <c r="AT74" s="27" t="str">
        <f t="shared" si="13"/>
        <v>Engineering intervention, validate economics at base oil price</v>
      </c>
      <c r="AU74" s="28" t="s">
        <v>884</v>
      </c>
    </row>
    <row r="75" spans="1:51" ht="50.1" customHeight="1" thickBot="1">
      <c r="A75" s="21">
        <v>67</v>
      </c>
      <c r="B75" s="21" t="s">
        <v>885</v>
      </c>
      <c r="C75" s="20" t="s">
        <v>59</v>
      </c>
      <c r="D75" s="20" t="s">
        <v>76</v>
      </c>
      <c r="E75" s="20" t="s">
        <v>76</v>
      </c>
      <c r="F75" s="21" t="s">
        <v>886</v>
      </c>
      <c r="G75" s="21" t="s">
        <v>887</v>
      </c>
      <c r="H75" s="41" t="s">
        <v>888</v>
      </c>
      <c r="I75" s="23">
        <v>477.02166740000001</v>
      </c>
      <c r="J75" s="20">
        <v>0</v>
      </c>
      <c r="K75" s="23">
        <f t="shared" ref="K75:K109" si="15">I75+J75</f>
        <v>477.02166740000001</v>
      </c>
      <c r="L75" s="20"/>
      <c r="M75" s="20"/>
      <c r="N75" s="20" t="s">
        <v>63</v>
      </c>
      <c r="O75" s="1" t="s">
        <v>64</v>
      </c>
      <c r="P75" s="70">
        <v>39539</v>
      </c>
      <c r="Q75" s="24">
        <f>2026-YEAR(P75)</f>
        <v>18</v>
      </c>
      <c r="R75" s="24">
        <v>0</v>
      </c>
      <c r="S75" s="24" t="s">
        <v>807</v>
      </c>
      <c r="T75" s="20" t="e">
        <f>VLOOKUP(N75,[2]Assessment!$A$4:$BO$101,19,FALSE)</f>
        <v>#N/A</v>
      </c>
      <c r="U75" s="20" t="e">
        <f>VLOOKUP(P75,[2]Assessment!$A$4:$BO$101,19,FALSE)</f>
        <v>#N/A</v>
      </c>
      <c r="V75" s="22" t="s">
        <v>889</v>
      </c>
      <c r="W75" s="21" t="s">
        <v>890</v>
      </c>
      <c r="X75" s="22" t="s">
        <v>891</v>
      </c>
      <c r="Y75" s="22" t="s">
        <v>892</v>
      </c>
      <c r="Z75" s="22" t="s">
        <v>893</v>
      </c>
      <c r="AA75" s="22" t="s">
        <v>894</v>
      </c>
      <c r="AB75" s="22" t="s">
        <v>895</v>
      </c>
      <c r="AC75" s="11">
        <v>3</v>
      </c>
      <c r="AD75" s="6">
        <f t="shared" si="14"/>
        <v>4</v>
      </c>
      <c r="AE75" s="11">
        <v>3</v>
      </c>
      <c r="AF75" s="11">
        <v>3</v>
      </c>
      <c r="AG75" s="11">
        <v>3</v>
      </c>
      <c r="AH75" s="11">
        <v>5</v>
      </c>
      <c r="AI75" s="11">
        <v>3</v>
      </c>
      <c r="AJ75" s="11">
        <v>3</v>
      </c>
      <c r="AK75" s="11">
        <v>3</v>
      </c>
      <c r="AL75" s="11">
        <v>2</v>
      </c>
      <c r="AM75" s="11">
        <v>2</v>
      </c>
      <c r="AN75" s="11">
        <v>3</v>
      </c>
      <c r="AO75" s="7">
        <f>IFERROR(IF(COUNT(AC75:AN75)=12,(AC75*'[1]Parameter Weights'!$F$7+AD75*'[1]Parameter Weights'!$F$9+AE75*'[1]Parameter Weights'!$F$10+AF75*'[1]Parameter Weights'!$F$11+AG75*'[1]Parameter Weights'!$F$12+AH75*'[1]Parameter Weights'!$F$13+AI75*'[1]Parameter Weights'!$F$14+AJ75*'[1]Parameter Weights'!$F$16+AK75*'[1]Parameter Weights'!$F$17+AL75*'[1]Parameter Weights'!$F$18+AM75*'[1]Parameter Weights'!$F$19+AN75*'[1]Parameter Weights'!$F$20)*20,IF(COUNT(AC75:AN75)=0,"","Incomplete")),"Check inputs")</f>
        <v>65.000000000000014</v>
      </c>
      <c r="AP75" s="8" t="s">
        <v>2</v>
      </c>
      <c r="AQ75" s="9" t="str">
        <f t="shared" si="12"/>
        <v>No</v>
      </c>
      <c r="AR75" s="9" t="s">
        <v>2</v>
      </c>
      <c r="AS75" s="9" t="str">
        <f t="shared" si="11"/>
        <v>Tier 2</v>
      </c>
      <c r="AT75" s="27" t="str">
        <f t="shared" si="13"/>
        <v>Engineering intervention, validate economics at base oil price</v>
      </c>
      <c r="AU75" s="28" t="s">
        <v>896</v>
      </c>
    </row>
    <row r="76" spans="1:51" ht="50.1" customHeight="1" thickBot="1">
      <c r="A76" s="21">
        <v>68</v>
      </c>
      <c r="B76" s="21" t="s">
        <v>897</v>
      </c>
      <c r="C76" s="20" t="s">
        <v>59</v>
      </c>
      <c r="D76" s="20" t="s">
        <v>76</v>
      </c>
      <c r="E76" s="20" t="s">
        <v>76</v>
      </c>
      <c r="F76" s="21" t="s">
        <v>898</v>
      </c>
      <c r="G76" s="21" t="s">
        <v>899</v>
      </c>
      <c r="H76" s="41" t="s">
        <v>900</v>
      </c>
      <c r="I76" s="23">
        <v>547.17191260000004</v>
      </c>
      <c r="J76" s="20">
        <v>0</v>
      </c>
      <c r="K76" s="23">
        <f t="shared" si="15"/>
        <v>547.17191260000004</v>
      </c>
      <c r="L76" s="20"/>
      <c r="M76" s="20"/>
      <c r="N76" s="20" t="s">
        <v>63</v>
      </c>
      <c r="O76" s="1" t="s">
        <v>64</v>
      </c>
      <c r="P76" s="70">
        <v>40422</v>
      </c>
      <c r="Q76" s="24">
        <f>2026-YEAR(P76)</f>
        <v>16</v>
      </c>
      <c r="R76" s="24">
        <v>0</v>
      </c>
      <c r="S76" s="24" t="s">
        <v>807</v>
      </c>
      <c r="T76" s="20" t="e">
        <f>VLOOKUP(N76,[2]Assessment!$A$4:$BO$101,19,FALSE)</f>
        <v>#N/A</v>
      </c>
      <c r="U76" s="20" t="e">
        <f>VLOOKUP(P76,[2]Assessment!$A$4:$BO$101,19,FALSE)</f>
        <v>#N/A</v>
      </c>
      <c r="V76" s="22" t="s">
        <v>901</v>
      </c>
      <c r="W76" s="21" t="s">
        <v>890</v>
      </c>
      <c r="X76" s="22" t="s">
        <v>902</v>
      </c>
      <c r="Y76" s="22" t="s">
        <v>903</v>
      </c>
      <c r="Z76" s="22" t="s">
        <v>904</v>
      </c>
      <c r="AA76" s="22" t="s">
        <v>905</v>
      </c>
      <c r="AB76" s="22" t="s">
        <v>906</v>
      </c>
      <c r="AC76" s="11">
        <v>2</v>
      </c>
      <c r="AD76" s="6">
        <f t="shared" si="14"/>
        <v>4</v>
      </c>
      <c r="AE76" s="11">
        <v>3</v>
      </c>
      <c r="AF76" s="11">
        <v>3</v>
      </c>
      <c r="AG76" s="11">
        <v>3</v>
      </c>
      <c r="AH76" s="11">
        <v>4</v>
      </c>
      <c r="AI76" s="11">
        <v>3</v>
      </c>
      <c r="AJ76" s="11">
        <v>4</v>
      </c>
      <c r="AK76" s="11">
        <v>1</v>
      </c>
      <c r="AL76" s="11">
        <v>2</v>
      </c>
      <c r="AM76" s="11">
        <v>2</v>
      </c>
      <c r="AN76" s="11">
        <v>3</v>
      </c>
      <c r="AO76" s="7">
        <f>IFERROR(IF(COUNT(AC76:AN76)=12,(AC76*'[1]Parameter Weights'!$F$7+AD76*'[1]Parameter Weights'!$F$9+AE76*'[1]Parameter Weights'!$F$10+AF76*'[1]Parameter Weights'!$F$11+AG76*'[1]Parameter Weights'!$F$12+AH76*'[1]Parameter Weights'!$F$13+AI76*'[1]Parameter Weights'!$F$14+AJ76*'[1]Parameter Weights'!$F$16+AK76*'[1]Parameter Weights'!$F$17+AL76*'[1]Parameter Weights'!$F$18+AM76*'[1]Parameter Weights'!$F$19+AN76*'[1]Parameter Weights'!$F$20)*20,IF(COUNT(AC76:AN76)=0,"","Incomplete")),"Check inputs")</f>
        <v>59</v>
      </c>
      <c r="AP76" s="8" t="s">
        <v>2</v>
      </c>
      <c r="AQ76" s="9" t="str">
        <f t="shared" si="12"/>
        <v>No</v>
      </c>
      <c r="AR76" s="9" t="s">
        <v>2</v>
      </c>
      <c r="AS76" s="9" t="str">
        <f t="shared" si="11"/>
        <v>Tier 2</v>
      </c>
      <c r="AT76" s="27" t="str">
        <f t="shared" si="13"/>
        <v>Engineering intervention, validate economics at base oil price</v>
      </c>
      <c r="AU76" s="28" t="s">
        <v>907</v>
      </c>
    </row>
    <row r="77" spans="1:51" ht="50.1" customHeight="1" thickBot="1">
      <c r="A77" s="21">
        <v>69</v>
      </c>
      <c r="B77" s="21" t="s">
        <v>908</v>
      </c>
      <c r="C77" s="20" t="s">
        <v>59</v>
      </c>
      <c r="D77" s="20" t="s">
        <v>76</v>
      </c>
      <c r="E77" s="20" t="s">
        <v>76</v>
      </c>
      <c r="F77" s="21" t="s">
        <v>909</v>
      </c>
      <c r="G77" s="21" t="s">
        <v>910</v>
      </c>
      <c r="H77" s="41" t="s">
        <v>911</v>
      </c>
      <c r="I77" s="23">
        <v>659.41230489999998</v>
      </c>
      <c r="J77" s="20">
        <v>0</v>
      </c>
      <c r="K77" s="23">
        <f t="shared" si="15"/>
        <v>659.41230489999998</v>
      </c>
      <c r="L77" s="20"/>
      <c r="M77" s="20"/>
      <c r="N77" s="20" t="s">
        <v>63</v>
      </c>
      <c r="O77" s="1" t="s">
        <v>64</v>
      </c>
      <c r="P77" s="70" t="s">
        <v>76</v>
      </c>
      <c r="Q77" s="24" t="s">
        <v>76</v>
      </c>
      <c r="R77" s="24">
        <v>0</v>
      </c>
      <c r="S77" s="24" t="s">
        <v>807</v>
      </c>
      <c r="T77" s="20" t="e">
        <f>VLOOKUP(N77,[2]Assessment!$A$4:$BO$101,19,FALSE)</f>
        <v>#N/A</v>
      </c>
      <c r="U77" s="20" t="e">
        <f>VLOOKUP(P77,[2]Assessment!$A$4:$BO$101,19,FALSE)</f>
        <v>#N/A</v>
      </c>
      <c r="V77" s="22" t="s">
        <v>912</v>
      </c>
      <c r="W77" s="21" t="s">
        <v>913</v>
      </c>
      <c r="X77" s="22" t="s">
        <v>914</v>
      </c>
      <c r="Y77" s="22" t="s">
        <v>915</v>
      </c>
      <c r="Z77" s="22" t="s">
        <v>904</v>
      </c>
      <c r="AA77" s="22" t="s">
        <v>916</v>
      </c>
      <c r="AB77" s="22" t="s">
        <v>917</v>
      </c>
      <c r="AC77" s="11">
        <v>2</v>
      </c>
      <c r="AD77" s="6">
        <f t="shared" si="14"/>
        <v>5</v>
      </c>
      <c r="AE77" s="11">
        <v>2</v>
      </c>
      <c r="AF77" s="11">
        <v>3</v>
      </c>
      <c r="AG77" s="11">
        <v>3</v>
      </c>
      <c r="AH77" s="11">
        <v>4</v>
      </c>
      <c r="AI77" s="11">
        <v>3</v>
      </c>
      <c r="AJ77" s="11">
        <v>3</v>
      </c>
      <c r="AK77" s="11">
        <v>2</v>
      </c>
      <c r="AL77" s="11">
        <v>1</v>
      </c>
      <c r="AM77" s="11">
        <v>2</v>
      </c>
      <c r="AN77" s="11">
        <v>3</v>
      </c>
      <c r="AO77" s="7">
        <f>IFERROR(IF(COUNT(AC77:AN77)=12,(AC77*'[1]Parameter Weights'!$F$7+AD77*'[1]Parameter Weights'!$F$9+AE77*'[1]Parameter Weights'!$F$10+AF77*'[1]Parameter Weights'!$F$11+AG77*'[1]Parameter Weights'!$F$12+AH77*'[1]Parameter Weights'!$F$13+AI77*'[1]Parameter Weights'!$F$14+AJ77*'[1]Parameter Weights'!$F$16+AK77*'[1]Parameter Weights'!$F$17+AL77*'[1]Parameter Weights'!$F$18+AM77*'[1]Parameter Weights'!$F$19+AN77*'[1]Parameter Weights'!$F$20)*20,IF(COUNT(AC77:AN77)=0,"","Incomplete")),"Check inputs")</f>
        <v>60</v>
      </c>
      <c r="AP77" s="8" t="s">
        <v>2</v>
      </c>
      <c r="AQ77" s="9" t="str">
        <f t="shared" si="12"/>
        <v>No</v>
      </c>
      <c r="AR77" s="9" t="s">
        <v>2</v>
      </c>
      <c r="AS77" s="9" t="str">
        <f t="shared" si="11"/>
        <v>Tier 2</v>
      </c>
      <c r="AT77" s="27" t="str">
        <f t="shared" si="13"/>
        <v>Engineering intervention, validate economics at base oil price</v>
      </c>
      <c r="AU77" s="28" t="s">
        <v>918</v>
      </c>
    </row>
    <row r="78" spans="1:51" ht="50.1" customHeight="1" thickBot="1">
      <c r="A78" s="21">
        <v>70</v>
      </c>
      <c r="B78" s="21" t="s">
        <v>919</v>
      </c>
      <c r="C78" s="20" t="s">
        <v>59</v>
      </c>
      <c r="D78" s="20" t="s">
        <v>76</v>
      </c>
      <c r="E78" s="20" t="s">
        <v>76</v>
      </c>
      <c r="F78" s="21" t="s">
        <v>920</v>
      </c>
      <c r="G78" s="21" t="s">
        <v>921</v>
      </c>
      <c r="H78" s="41" t="s">
        <v>922</v>
      </c>
      <c r="I78" s="23">
        <v>869.86304059999998</v>
      </c>
      <c r="J78" s="20">
        <v>0</v>
      </c>
      <c r="K78" s="23">
        <f t="shared" si="15"/>
        <v>869.86304059999998</v>
      </c>
      <c r="L78" s="20"/>
      <c r="M78" s="20"/>
      <c r="N78" s="20" t="s">
        <v>63</v>
      </c>
      <c r="O78" s="1" t="s">
        <v>64</v>
      </c>
      <c r="P78" s="70">
        <v>39479</v>
      </c>
      <c r="Q78" s="24">
        <f t="shared" ref="Q78:Q87" si="16">2026-YEAR(P78)</f>
        <v>18</v>
      </c>
      <c r="R78" s="24">
        <v>0</v>
      </c>
      <c r="S78" s="24" t="s">
        <v>807</v>
      </c>
      <c r="T78" s="20" t="e">
        <f>VLOOKUP(N78,[2]Assessment!$A$4:$BO$101,19,FALSE)</f>
        <v>#N/A</v>
      </c>
      <c r="U78" s="20" t="e">
        <f>VLOOKUP(P78,[2]Assessment!$A$4:$BO$101,19,FALSE)</f>
        <v>#N/A</v>
      </c>
      <c r="V78" s="29" t="s">
        <v>923</v>
      </c>
      <c r="W78" s="22" t="s">
        <v>924</v>
      </c>
      <c r="X78" s="33" t="s">
        <v>925</v>
      </c>
      <c r="Y78" s="22" t="s">
        <v>926</v>
      </c>
      <c r="Z78" s="22" t="s">
        <v>927</v>
      </c>
      <c r="AA78" s="22" t="s">
        <v>928</v>
      </c>
      <c r="AB78" s="22" t="s">
        <v>929</v>
      </c>
      <c r="AC78" s="10">
        <v>2</v>
      </c>
      <c r="AD78" s="6">
        <f t="shared" si="14"/>
        <v>5</v>
      </c>
      <c r="AE78" s="10">
        <v>2</v>
      </c>
      <c r="AF78" s="10">
        <v>3</v>
      </c>
      <c r="AG78" s="10">
        <v>3</v>
      </c>
      <c r="AH78" s="10">
        <v>5</v>
      </c>
      <c r="AI78" s="10">
        <v>3</v>
      </c>
      <c r="AJ78" s="10">
        <v>4</v>
      </c>
      <c r="AK78" s="10">
        <v>2</v>
      </c>
      <c r="AL78" s="10">
        <v>2</v>
      </c>
      <c r="AM78" s="10">
        <v>2</v>
      </c>
      <c r="AN78" s="10">
        <v>2</v>
      </c>
      <c r="AO78" s="7">
        <f>IFERROR(IF(COUNT(AC78:AN78)=12,(AC78*'[1]Parameter Weights'!$F$7+AD78*'[1]Parameter Weights'!$F$9+AE78*'[1]Parameter Weights'!$F$10+AF78*'[1]Parameter Weights'!$F$11+AG78*'[1]Parameter Weights'!$F$12+AH78*'[1]Parameter Weights'!$F$13+AI78*'[1]Parameter Weights'!$F$14+AJ78*'[1]Parameter Weights'!$F$16+AK78*'[1]Parameter Weights'!$F$17+AL78*'[1]Parameter Weights'!$F$18+AM78*'[1]Parameter Weights'!$F$19+AN78*'[1]Parameter Weights'!$F$20)*20,IF(COUNT(AC78:AN78)=0,"","Incomplete")),"Check inputs")</f>
        <v>64.000000000000014</v>
      </c>
      <c r="AP78" s="8" t="s">
        <v>2</v>
      </c>
      <c r="AQ78" s="9" t="str">
        <f t="shared" si="12"/>
        <v>No</v>
      </c>
      <c r="AR78" s="9" t="s">
        <v>2</v>
      </c>
      <c r="AS78" s="9" t="str">
        <f t="shared" si="11"/>
        <v>Tier 2</v>
      </c>
      <c r="AT78" s="27" t="str">
        <f t="shared" si="13"/>
        <v>Engineering intervention, validate economics at base oil price</v>
      </c>
      <c r="AU78" s="28" t="s">
        <v>930</v>
      </c>
    </row>
    <row r="79" spans="1:51" ht="50.1" customHeight="1" thickBot="1">
      <c r="A79" s="21">
        <v>71</v>
      </c>
      <c r="B79" s="21" t="s">
        <v>931</v>
      </c>
      <c r="C79" s="20" t="s">
        <v>59</v>
      </c>
      <c r="D79" s="20" t="s">
        <v>76</v>
      </c>
      <c r="E79" s="20" t="s">
        <v>76</v>
      </c>
      <c r="F79" s="21" t="s">
        <v>932</v>
      </c>
      <c r="G79" s="21" t="s">
        <v>933</v>
      </c>
      <c r="H79" s="41" t="s">
        <v>934</v>
      </c>
      <c r="I79" s="23">
        <v>575.23201070000005</v>
      </c>
      <c r="J79" s="20">
        <v>0</v>
      </c>
      <c r="K79" s="23">
        <f t="shared" si="15"/>
        <v>575.23201070000005</v>
      </c>
      <c r="L79" s="20"/>
      <c r="M79" s="20"/>
      <c r="N79" s="20" t="s">
        <v>63</v>
      </c>
      <c r="O79" s="1" t="s">
        <v>64</v>
      </c>
      <c r="P79" s="70">
        <v>39600</v>
      </c>
      <c r="Q79" s="24">
        <f t="shared" si="16"/>
        <v>18</v>
      </c>
      <c r="R79" s="24">
        <v>0</v>
      </c>
      <c r="S79" s="24" t="s">
        <v>807</v>
      </c>
      <c r="T79" s="20" t="e">
        <f>VLOOKUP(N79,[2]Assessment!$A$4:$BO$101,19,FALSE)</f>
        <v>#N/A</v>
      </c>
      <c r="U79" s="20" t="e">
        <f>VLOOKUP(P79,[2]Assessment!$A$4:$BO$101,19,FALSE)</f>
        <v>#N/A</v>
      </c>
      <c r="V79" s="29" t="s">
        <v>935</v>
      </c>
      <c r="W79" s="22" t="s">
        <v>936</v>
      </c>
      <c r="X79" s="33" t="s">
        <v>937</v>
      </c>
      <c r="Y79" s="22" t="s">
        <v>938</v>
      </c>
      <c r="Z79" s="22" t="s">
        <v>939</v>
      </c>
      <c r="AA79" s="22" t="s">
        <v>940</v>
      </c>
      <c r="AB79" s="22" t="s">
        <v>941</v>
      </c>
      <c r="AC79" s="10">
        <v>3</v>
      </c>
      <c r="AD79" s="6">
        <f t="shared" si="14"/>
        <v>4</v>
      </c>
      <c r="AE79" s="10">
        <v>3</v>
      </c>
      <c r="AF79" s="10">
        <v>3</v>
      </c>
      <c r="AG79" s="10">
        <v>3</v>
      </c>
      <c r="AH79" s="10">
        <v>5</v>
      </c>
      <c r="AI79" s="10">
        <v>3</v>
      </c>
      <c r="AJ79" s="10">
        <v>3</v>
      </c>
      <c r="AK79" s="10">
        <v>3</v>
      </c>
      <c r="AL79" s="10">
        <v>2</v>
      </c>
      <c r="AM79" s="10">
        <v>5</v>
      </c>
      <c r="AN79" s="10">
        <v>2</v>
      </c>
      <c r="AO79" s="7">
        <f>IFERROR(IF(COUNT(AC79:AN79)=12,(AC79*'[1]Parameter Weights'!$F$7+AD79*'[1]Parameter Weights'!$F$9+AE79*'[1]Parameter Weights'!$F$10+AF79*'[1]Parameter Weights'!$F$11+AG79*'[1]Parameter Weights'!$F$12+AH79*'[1]Parameter Weights'!$F$13+AI79*'[1]Parameter Weights'!$F$14+AJ79*'[1]Parameter Weights'!$F$16+AK79*'[1]Parameter Weights'!$F$17+AL79*'[1]Parameter Weights'!$F$18+AM79*'[1]Parameter Weights'!$F$19+AN79*'[1]Parameter Weights'!$F$20)*20,IF(COUNT(AC79:AN79)=0,"","Incomplete")),"Check inputs")</f>
        <v>67.000000000000014</v>
      </c>
      <c r="AP79" s="8" t="s">
        <v>2</v>
      </c>
      <c r="AQ79" s="9" t="str">
        <f t="shared" si="12"/>
        <v>No</v>
      </c>
      <c r="AR79" s="9" t="s">
        <v>2</v>
      </c>
      <c r="AS79" s="9" t="str">
        <f t="shared" si="11"/>
        <v>Tier 2</v>
      </c>
      <c r="AT79" s="27" t="str">
        <f t="shared" si="13"/>
        <v>Engineering intervention, validate economics at base oil price</v>
      </c>
      <c r="AU79" s="28" t="s">
        <v>942</v>
      </c>
    </row>
    <row r="80" spans="1:51" ht="50.1" customHeight="1" thickBot="1">
      <c r="A80" s="21">
        <v>72</v>
      </c>
      <c r="B80" s="21" t="s">
        <v>943</v>
      </c>
      <c r="C80" s="20" t="s">
        <v>59</v>
      </c>
      <c r="D80" s="20" t="s">
        <v>76</v>
      </c>
      <c r="E80" s="20" t="s">
        <v>76</v>
      </c>
      <c r="F80" s="21" t="s">
        <v>944</v>
      </c>
      <c r="G80" s="21" t="s">
        <v>945</v>
      </c>
      <c r="H80" s="41" t="s">
        <v>946</v>
      </c>
      <c r="I80" s="23">
        <v>224.48078469999999</v>
      </c>
      <c r="J80" s="20">
        <v>0</v>
      </c>
      <c r="K80" s="23">
        <f t="shared" si="15"/>
        <v>224.48078469999999</v>
      </c>
      <c r="L80" s="20"/>
      <c r="M80" s="20"/>
      <c r="N80" s="20" t="s">
        <v>63</v>
      </c>
      <c r="O80" s="1" t="s">
        <v>64</v>
      </c>
      <c r="P80" s="70">
        <v>37865</v>
      </c>
      <c r="Q80" s="24">
        <f t="shared" si="16"/>
        <v>23</v>
      </c>
      <c r="R80" s="24">
        <v>0</v>
      </c>
      <c r="S80" s="24" t="s">
        <v>807</v>
      </c>
      <c r="T80" s="20" t="e">
        <f>VLOOKUP(N80,[2]Assessment!$A$4:$BO$101,19,FALSE)</f>
        <v>#N/A</v>
      </c>
      <c r="U80" s="20" t="e">
        <f>VLOOKUP(P80,[2]Assessment!$A$4:$BO$101,19,FALSE)</f>
        <v>#N/A</v>
      </c>
      <c r="V80" s="29" t="s">
        <v>947</v>
      </c>
      <c r="W80" s="22" t="s">
        <v>948</v>
      </c>
      <c r="X80" s="22" t="s">
        <v>949</v>
      </c>
      <c r="Y80" s="22" t="s">
        <v>950</v>
      </c>
      <c r="Z80" s="22" t="s">
        <v>951</v>
      </c>
      <c r="AA80" s="22" t="s">
        <v>952</v>
      </c>
      <c r="AB80" s="22" t="s">
        <v>953</v>
      </c>
      <c r="AC80" s="10">
        <v>1</v>
      </c>
      <c r="AD80" s="6">
        <f t="shared" si="14"/>
        <v>3</v>
      </c>
      <c r="AE80" s="10">
        <v>1</v>
      </c>
      <c r="AF80" s="10">
        <v>1</v>
      </c>
      <c r="AG80" s="10">
        <v>3</v>
      </c>
      <c r="AH80" s="10">
        <v>4</v>
      </c>
      <c r="AI80" s="10">
        <v>3</v>
      </c>
      <c r="AJ80" s="10">
        <v>3</v>
      </c>
      <c r="AK80" s="10">
        <v>1</v>
      </c>
      <c r="AL80" s="10">
        <v>2</v>
      </c>
      <c r="AM80" s="10">
        <v>1</v>
      </c>
      <c r="AN80" s="10">
        <v>3</v>
      </c>
      <c r="AO80" s="7">
        <f>IFERROR(IF(COUNT(AC80:AN80)=12,(AC80*'[1]Parameter Weights'!$F$7+AD80*'[1]Parameter Weights'!$F$9+AE80*'[1]Parameter Weights'!$F$10+AF80*'[1]Parameter Weights'!$F$11+AG80*'[1]Parameter Weights'!$F$12+AH80*'[1]Parameter Weights'!$F$13+AI80*'[1]Parameter Weights'!$F$14+AJ80*'[1]Parameter Weights'!$F$16+AK80*'[1]Parameter Weights'!$F$17+AL80*'[1]Parameter Weights'!$F$18+AM80*'[1]Parameter Weights'!$F$19+AN80*'[1]Parameter Weights'!$F$20)*20,IF(COUNT(AC80:AN80)=0,"","Incomplete")),"Check inputs")</f>
        <v>46.999999999999993</v>
      </c>
      <c r="AP80" s="8" t="s">
        <v>2</v>
      </c>
      <c r="AQ80" s="9" t="str">
        <f t="shared" si="12"/>
        <v>No</v>
      </c>
      <c r="AR80" s="9" t="s">
        <v>2</v>
      </c>
      <c r="AS80" s="9" t="str">
        <f t="shared" si="11"/>
        <v>Tier 3</v>
      </c>
      <c r="AT80" s="27" t="str">
        <f t="shared" si="13"/>
        <v>Major workover, execute after Tier 1 and 2 validate economics</v>
      </c>
      <c r="AU80" s="28" t="s">
        <v>954</v>
      </c>
    </row>
    <row r="81" spans="1:47" ht="50.1" customHeight="1" thickBot="1">
      <c r="A81" s="21">
        <v>73</v>
      </c>
      <c r="B81" s="21" t="s">
        <v>955</v>
      </c>
      <c r="C81" s="20" t="s">
        <v>59</v>
      </c>
      <c r="D81" s="20" t="s">
        <v>76</v>
      </c>
      <c r="E81" s="20" t="s">
        <v>76</v>
      </c>
      <c r="F81" s="21" t="s">
        <v>956</v>
      </c>
      <c r="G81" s="21" t="s">
        <v>957</v>
      </c>
      <c r="H81" s="41" t="s">
        <v>958</v>
      </c>
      <c r="I81" s="23">
        <v>98.210343289999997</v>
      </c>
      <c r="J81" s="20">
        <v>0</v>
      </c>
      <c r="K81" s="23">
        <f t="shared" si="15"/>
        <v>98.210343289999997</v>
      </c>
      <c r="L81" s="20"/>
      <c r="M81" s="20"/>
      <c r="N81" s="20" t="s">
        <v>63</v>
      </c>
      <c r="O81" s="1" t="s">
        <v>64</v>
      </c>
      <c r="P81" s="70">
        <v>40603</v>
      </c>
      <c r="Q81" s="24">
        <f t="shared" si="16"/>
        <v>15</v>
      </c>
      <c r="R81" s="24">
        <v>0</v>
      </c>
      <c r="S81" s="24" t="s">
        <v>807</v>
      </c>
      <c r="T81" s="20" t="e">
        <f>VLOOKUP(N81,[2]Assessment!$A$4:$BO$101,19,FALSE)</f>
        <v>#N/A</v>
      </c>
      <c r="U81" s="20" t="e">
        <f>VLOOKUP(P81,[2]Assessment!$A$4:$BO$101,19,FALSE)</f>
        <v>#N/A</v>
      </c>
      <c r="V81" s="29" t="s">
        <v>959</v>
      </c>
      <c r="W81" s="22" t="s">
        <v>960</v>
      </c>
      <c r="X81" s="22" t="s">
        <v>961</v>
      </c>
      <c r="Y81" s="22" t="s">
        <v>962</v>
      </c>
      <c r="Z81" s="22" t="s">
        <v>963</v>
      </c>
      <c r="AA81" s="22" t="s">
        <v>964</v>
      </c>
      <c r="AB81" s="22" t="s">
        <v>965</v>
      </c>
      <c r="AC81" s="10">
        <v>2</v>
      </c>
      <c r="AD81" s="6">
        <f t="shared" si="14"/>
        <v>2</v>
      </c>
      <c r="AE81" s="10">
        <v>3</v>
      </c>
      <c r="AF81" s="10">
        <v>3</v>
      </c>
      <c r="AG81" s="10">
        <v>2</v>
      </c>
      <c r="AH81" s="10">
        <v>5</v>
      </c>
      <c r="AI81" s="10">
        <v>3</v>
      </c>
      <c r="AJ81" s="10">
        <v>4</v>
      </c>
      <c r="AK81" s="10">
        <v>2</v>
      </c>
      <c r="AL81" s="10">
        <v>2</v>
      </c>
      <c r="AM81" s="10">
        <v>3</v>
      </c>
      <c r="AN81" s="10">
        <v>2</v>
      </c>
      <c r="AO81" s="7">
        <f>IFERROR(IF(COUNT(AC81:AN81)=12,(AC81*'[1]Parameter Weights'!$F$7+AD81*'[1]Parameter Weights'!$F$9+AE81*'[1]Parameter Weights'!$F$10+AF81*'[1]Parameter Weights'!$F$11+AG81*'[1]Parameter Weights'!$F$12+AH81*'[1]Parameter Weights'!$F$13+AI81*'[1]Parameter Weights'!$F$14+AJ81*'[1]Parameter Weights'!$F$16+AK81*'[1]Parameter Weights'!$F$17+AL81*'[1]Parameter Weights'!$F$18+AM81*'[1]Parameter Weights'!$F$19+AN81*'[1]Parameter Weights'!$F$20)*20,IF(COUNT(AC81:AN81)=0,"","Incomplete")),"Check inputs")</f>
        <v>54</v>
      </c>
      <c r="AP81" s="8" t="s">
        <v>2</v>
      </c>
      <c r="AQ81" s="9" t="str">
        <f t="shared" si="12"/>
        <v>No</v>
      </c>
      <c r="AR81" s="9" t="s">
        <v>2</v>
      </c>
      <c r="AS81" s="9" t="str">
        <f t="shared" si="11"/>
        <v>Tier 3</v>
      </c>
      <c r="AT81" s="27" t="str">
        <f t="shared" si="13"/>
        <v>Major workover, execute after Tier 1 and 2 validate economics</v>
      </c>
      <c r="AU81" s="28" t="s">
        <v>966</v>
      </c>
    </row>
    <row r="82" spans="1:47" ht="50.1" customHeight="1" thickBot="1">
      <c r="A82" s="21">
        <v>74</v>
      </c>
      <c r="B82" s="21" t="s">
        <v>967</v>
      </c>
      <c r="C82" s="20" t="s">
        <v>59</v>
      </c>
      <c r="D82" s="20" t="s">
        <v>76</v>
      </c>
      <c r="E82" s="20" t="s">
        <v>76</v>
      </c>
      <c r="F82" s="21" t="s">
        <v>968</v>
      </c>
      <c r="G82" s="21" t="s">
        <v>969</v>
      </c>
      <c r="H82" s="41" t="s">
        <v>970</v>
      </c>
      <c r="I82" s="23">
        <v>252.5408827</v>
      </c>
      <c r="J82" s="20">
        <v>0</v>
      </c>
      <c r="K82" s="23">
        <f t="shared" si="15"/>
        <v>252.5408827</v>
      </c>
      <c r="L82" s="20"/>
      <c r="M82" s="20"/>
      <c r="N82" s="20" t="s">
        <v>63</v>
      </c>
      <c r="O82" s="1" t="s">
        <v>64</v>
      </c>
      <c r="P82" s="70">
        <v>39264</v>
      </c>
      <c r="Q82" s="24">
        <f t="shared" si="16"/>
        <v>19</v>
      </c>
      <c r="R82" s="24">
        <v>0</v>
      </c>
      <c r="S82" s="24" t="s">
        <v>807</v>
      </c>
      <c r="T82" s="20" t="e">
        <f>VLOOKUP(N82,[2]Assessment!$A$4:$BO$101,19,FALSE)</f>
        <v>#N/A</v>
      </c>
      <c r="U82" s="20" t="e">
        <f>VLOOKUP(P82,[2]Assessment!$A$4:$BO$101,19,FALSE)</f>
        <v>#N/A</v>
      </c>
      <c r="V82" s="29" t="s">
        <v>971</v>
      </c>
      <c r="W82" s="21" t="s">
        <v>972</v>
      </c>
      <c r="X82" s="22" t="s">
        <v>973</v>
      </c>
      <c r="Y82" s="22" t="s">
        <v>974</v>
      </c>
      <c r="Z82" s="22" t="s">
        <v>963</v>
      </c>
      <c r="AA82" s="22" t="s">
        <v>975</v>
      </c>
      <c r="AB82" s="22" t="s">
        <v>976</v>
      </c>
      <c r="AC82" s="10">
        <v>2</v>
      </c>
      <c r="AD82" s="6">
        <f t="shared" si="14"/>
        <v>3</v>
      </c>
      <c r="AE82" s="10">
        <v>3</v>
      </c>
      <c r="AF82" s="10">
        <v>3</v>
      </c>
      <c r="AG82" s="10">
        <v>3</v>
      </c>
      <c r="AH82" s="10">
        <v>4</v>
      </c>
      <c r="AI82" s="10">
        <v>3</v>
      </c>
      <c r="AJ82" s="10">
        <v>3</v>
      </c>
      <c r="AK82" s="10">
        <v>3</v>
      </c>
      <c r="AL82" s="10">
        <v>2</v>
      </c>
      <c r="AM82" s="10">
        <v>2</v>
      </c>
      <c r="AN82" s="10">
        <v>3</v>
      </c>
      <c r="AO82" s="7">
        <f>IFERROR(IF(COUNT(AC82:AN82)=12,(AC82*'[1]Parameter Weights'!$F$7+AD82*'[1]Parameter Weights'!$F$9+AE82*'[1]Parameter Weights'!$F$10+AF82*'[1]Parameter Weights'!$F$11+AG82*'[1]Parameter Weights'!$F$12+AH82*'[1]Parameter Weights'!$F$13+AI82*'[1]Parameter Weights'!$F$14+AJ82*'[1]Parameter Weights'!$F$16+AK82*'[1]Parameter Weights'!$F$17+AL82*'[1]Parameter Weights'!$F$18+AM82*'[1]Parameter Weights'!$F$19+AN82*'[1]Parameter Weights'!$F$20)*20,IF(COUNT(AC82:AN82)=0,"","Incomplete")),"Check inputs")</f>
        <v>58</v>
      </c>
      <c r="AP82" s="8" t="s">
        <v>2</v>
      </c>
      <c r="AQ82" s="9" t="str">
        <f t="shared" si="12"/>
        <v>No</v>
      </c>
      <c r="AR82" s="9" t="s">
        <v>2</v>
      </c>
      <c r="AS82" s="9" t="str">
        <f t="shared" si="11"/>
        <v>Tier 2</v>
      </c>
      <c r="AT82" s="27" t="str">
        <f t="shared" si="13"/>
        <v>Engineering intervention, validate economics at base oil price</v>
      </c>
      <c r="AU82" s="28" t="s">
        <v>977</v>
      </c>
    </row>
    <row r="83" spans="1:47" ht="50.1" customHeight="1" thickBot="1">
      <c r="A83" s="21">
        <v>75</v>
      </c>
      <c r="B83" s="21" t="s">
        <v>978</v>
      </c>
      <c r="C83" s="20" t="s">
        <v>59</v>
      </c>
      <c r="D83" s="20" t="s">
        <v>76</v>
      </c>
      <c r="E83" s="20" t="s">
        <v>76</v>
      </c>
      <c r="F83" s="21" t="s">
        <v>979</v>
      </c>
      <c r="G83" s="21" t="s">
        <v>980</v>
      </c>
      <c r="H83" s="41" t="s">
        <v>981</v>
      </c>
      <c r="I83" s="23">
        <v>406.87142219999998</v>
      </c>
      <c r="J83" s="20">
        <v>0</v>
      </c>
      <c r="K83" s="23">
        <f t="shared" si="15"/>
        <v>406.87142219999998</v>
      </c>
      <c r="L83" s="20"/>
      <c r="M83" s="20"/>
      <c r="N83" s="20" t="s">
        <v>63</v>
      </c>
      <c r="O83" s="1" t="s">
        <v>64</v>
      </c>
      <c r="P83" s="70">
        <v>40118</v>
      </c>
      <c r="Q83" s="24">
        <f t="shared" si="16"/>
        <v>17</v>
      </c>
      <c r="R83" s="24">
        <v>0</v>
      </c>
      <c r="S83" s="24" t="s">
        <v>807</v>
      </c>
      <c r="T83" s="20" t="e">
        <f>VLOOKUP(N83,[2]Assessment!$A$4:$BO$101,19,FALSE)</f>
        <v>#N/A</v>
      </c>
      <c r="U83" s="20" t="e">
        <f>VLOOKUP(P83,[2]Assessment!$A$4:$BO$101,19,FALSE)</f>
        <v>#N/A</v>
      </c>
      <c r="V83" s="29" t="s">
        <v>982</v>
      </c>
      <c r="W83" s="21" t="s">
        <v>972</v>
      </c>
      <c r="X83" s="22" t="s">
        <v>983</v>
      </c>
      <c r="Y83" s="22" t="s">
        <v>984</v>
      </c>
      <c r="Z83" s="22" t="s">
        <v>963</v>
      </c>
      <c r="AA83" s="22" t="s">
        <v>985</v>
      </c>
      <c r="AB83" s="22" t="s">
        <v>986</v>
      </c>
      <c r="AC83" s="10">
        <v>3</v>
      </c>
      <c r="AD83" s="6">
        <f t="shared" si="14"/>
        <v>4</v>
      </c>
      <c r="AE83" s="10">
        <v>3</v>
      </c>
      <c r="AF83" s="10">
        <v>3</v>
      </c>
      <c r="AG83" s="10">
        <v>4</v>
      </c>
      <c r="AH83" s="10">
        <v>5</v>
      </c>
      <c r="AI83" s="10">
        <v>3</v>
      </c>
      <c r="AJ83" s="10">
        <v>3</v>
      </c>
      <c r="AK83" s="10">
        <v>2</v>
      </c>
      <c r="AL83" s="10">
        <v>2</v>
      </c>
      <c r="AM83" s="10">
        <v>2</v>
      </c>
      <c r="AN83" s="10">
        <v>3</v>
      </c>
      <c r="AO83" s="7">
        <f>IFERROR(IF(COUNT(AC83:AN83)=12,(AC83*'[1]Parameter Weights'!$F$7+AD83*'[1]Parameter Weights'!$F$9+AE83*'[1]Parameter Weights'!$F$10+AF83*'[1]Parameter Weights'!$F$11+AG83*'[1]Parameter Weights'!$F$12+AH83*'[1]Parameter Weights'!$F$13+AI83*'[1]Parameter Weights'!$F$14+AJ83*'[1]Parameter Weights'!$F$16+AK83*'[1]Parameter Weights'!$F$17+AL83*'[1]Parameter Weights'!$F$18+AM83*'[1]Parameter Weights'!$F$19+AN83*'[1]Parameter Weights'!$F$20)*20,IF(COUNT(AC83:AN83)=0,"","Incomplete")),"Check inputs")</f>
        <v>66</v>
      </c>
      <c r="AP83" s="8" t="s">
        <v>2</v>
      </c>
      <c r="AQ83" s="9" t="str">
        <f t="shared" si="12"/>
        <v>No</v>
      </c>
      <c r="AR83" s="9" t="s">
        <v>2</v>
      </c>
      <c r="AS83" s="9" t="str">
        <f t="shared" si="11"/>
        <v>Tier 2</v>
      </c>
      <c r="AT83" s="27" t="str">
        <f t="shared" si="13"/>
        <v>Engineering intervention, validate economics at base oil price</v>
      </c>
      <c r="AU83" s="28" t="s">
        <v>987</v>
      </c>
    </row>
    <row r="84" spans="1:47" ht="50.1" customHeight="1" thickBot="1">
      <c r="A84" s="21">
        <v>76</v>
      </c>
      <c r="B84" s="21" t="s">
        <v>988</v>
      </c>
      <c r="C84" s="20" t="s">
        <v>59</v>
      </c>
      <c r="D84" s="20">
        <v>375493.63</v>
      </c>
      <c r="E84" s="20">
        <v>185204.66</v>
      </c>
      <c r="F84" s="21" t="s">
        <v>989</v>
      </c>
      <c r="G84" s="21" t="s">
        <v>990</v>
      </c>
      <c r="H84" s="41" t="s">
        <v>991</v>
      </c>
      <c r="I84" s="23">
        <v>0</v>
      </c>
      <c r="J84" s="20">
        <v>0</v>
      </c>
      <c r="K84" s="23">
        <f t="shared" si="15"/>
        <v>0</v>
      </c>
      <c r="L84" s="20"/>
      <c r="M84" s="20"/>
      <c r="N84" s="20" t="s">
        <v>63</v>
      </c>
      <c r="O84" s="1" t="s">
        <v>64</v>
      </c>
      <c r="P84" s="70">
        <v>41183</v>
      </c>
      <c r="Q84" s="24">
        <f t="shared" si="16"/>
        <v>14</v>
      </c>
      <c r="R84" s="24">
        <v>0</v>
      </c>
      <c r="S84" s="24" t="s">
        <v>807</v>
      </c>
      <c r="T84" s="20" t="e">
        <f>VLOOKUP(N84,[2]Assessment!$A$4:$BO$101,19,FALSE)</f>
        <v>#N/A</v>
      </c>
      <c r="U84" s="20" t="e">
        <f>VLOOKUP(P84,[2]Assessment!$A$4:$BO$101,19,FALSE)</f>
        <v>#N/A</v>
      </c>
      <c r="V84" s="29" t="s">
        <v>992</v>
      </c>
      <c r="W84" s="22" t="s">
        <v>993</v>
      </c>
      <c r="X84" s="22" t="s">
        <v>994</v>
      </c>
      <c r="Y84" s="22" t="s">
        <v>995</v>
      </c>
      <c r="Z84" s="22" t="s">
        <v>963</v>
      </c>
      <c r="AA84" s="22" t="s">
        <v>996</v>
      </c>
      <c r="AB84" s="22" t="s">
        <v>997</v>
      </c>
      <c r="AC84" s="10">
        <v>1</v>
      </c>
      <c r="AD84" s="6">
        <f t="shared" si="14"/>
        <v>1</v>
      </c>
      <c r="AE84" s="10">
        <v>3</v>
      </c>
      <c r="AF84" s="10">
        <v>3</v>
      </c>
      <c r="AG84" s="10">
        <v>2</v>
      </c>
      <c r="AH84" s="10">
        <v>4</v>
      </c>
      <c r="AI84" s="10">
        <v>3</v>
      </c>
      <c r="AJ84" s="10">
        <v>2</v>
      </c>
      <c r="AK84" s="10">
        <v>1</v>
      </c>
      <c r="AL84" s="10">
        <v>3</v>
      </c>
      <c r="AM84" s="10">
        <v>2</v>
      </c>
      <c r="AN84" s="10">
        <v>3</v>
      </c>
      <c r="AO84" s="7">
        <f>IFERROR(IF(COUNT(AC84:AN84)=12,(AC84*'[1]Parameter Weights'!$F$7+AD84*'[1]Parameter Weights'!$F$9+AE84*'[1]Parameter Weights'!$F$10+AF84*'[1]Parameter Weights'!$F$11+AG84*'[1]Parameter Weights'!$F$12+AH84*'[1]Parameter Weights'!$F$13+AI84*'[1]Parameter Weights'!$F$14+AJ84*'[1]Parameter Weights'!$F$16+AK84*'[1]Parameter Weights'!$F$17+AL84*'[1]Parameter Weights'!$F$18+AM84*'[1]Parameter Weights'!$F$19+AN84*'[1]Parameter Weights'!$F$20)*20,IF(COUNT(AC84:AN84)=0,"","Incomplete")),"Check inputs")</f>
        <v>42</v>
      </c>
      <c r="AP84" s="8" t="s">
        <v>2</v>
      </c>
      <c r="AQ84" s="9" t="str">
        <f t="shared" si="12"/>
        <v>No</v>
      </c>
      <c r="AR84" s="9" t="s">
        <v>2</v>
      </c>
      <c r="AS84" s="9" t="str">
        <f t="shared" si="11"/>
        <v>Tier 3</v>
      </c>
      <c r="AT84" s="34" t="str">
        <f t="shared" si="13"/>
        <v>Major workover, execute after Tier 1 and 2 validate economics</v>
      </c>
      <c r="AU84" s="44" t="s">
        <v>998</v>
      </c>
    </row>
    <row r="85" spans="1:47" ht="50.1" customHeight="1" thickBot="1">
      <c r="A85" s="21">
        <v>77</v>
      </c>
      <c r="B85" s="21" t="s">
        <v>999</v>
      </c>
      <c r="C85" s="20" t="s">
        <v>59</v>
      </c>
      <c r="D85" s="20" t="s">
        <v>76</v>
      </c>
      <c r="E85" s="20" t="s">
        <v>76</v>
      </c>
      <c r="F85" s="21" t="s">
        <v>989</v>
      </c>
      <c r="G85" s="21" t="s">
        <v>1000</v>
      </c>
      <c r="H85" s="41" t="s">
        <v>1001</v>
      </c>
      <c r="I85" s="23">
        <v>533.14186359999997</v>
      </c>
      <c r="J85" s="20">
        <v>0</v>
      </c>
      <c r="K85" s="23">
        <f t="shared" si="15"/>
        <v>533.14186359999997</v>
      </c>
      <c r="L85" s="20"/>
      <c r="M85" s="20"/>
      <c r="N85" s="20" t="s">
        <v>63</v>
      </c>
      <c r="O85" s="1" t="s">
        <v>64</v>
      </c>
      <c r="P85" s="70">
        <v>40118</v>
      </c>
      <c r="Q85" s="24">
        <f t="shared" si="16"/>
        <v>17</v>
      </c>
      <c r="R85" s="24">
        <v>0</v>
      </c>
      <c r="S85" s="24" t="s">
        <v>807</v>
      </c>
      <c r="T85" s="20" t="e">
        <f>VLOOKUP(N85,[2]Assessment!$A$4:$BO$101,19,FALSE)</f>
        <v>#N/A</v>
      </c>
      <c r="U85" s="20" t="e">
        <f>VLOOKUP(P85,[2]Assessment!$A$4:$BO$101,19,FALSE)</f>
        <v>#N/A</v>
      </c>
      <c r="V85" s="29" t="s">
        <v>1002</v>
      </c>
      <c r="W85" s="22" t="s">
        <v>1003</v>
      </c>
      <c r="X85" s="22" t="s">
        <v>1004</v>
      </c>
      <c r="Y85" s="22" t="s">
        <v>1005</v>
      </c>
      <c r="Z85" s="22" t="s">
        <v>1006</v>
      </c>
      <c r="AA85" s="22" t="s">
        <v>996</v>
      </c>
      <c r="AB85" s="22" t="s">
        <v>997</v>
      </c>
      <c r="AC85" s="10">
        <v>3</v>
      </c>
      <c r="AD85" s="6">
        <f t="shared" si="14"/>
        <v>4</v>
      </c>
      <c r="AE85" s="10">
        <v>3</v>
      </c>
      <c r="AF85" s="10">
        <v>3</v>
      </c>
      <c r="AG85" s="10">
        <v>3</v>
      </c>
      <c r="AH85" s="10">
        <v>4</v>
      </c>
      <c r="AI85" s="10">
        <v>3</v>
      </c>
      <c r="AJ85" s="10">
        <v>4</v>
      </c>
      <c r="AK85" s="10">
        <v>3</v>
      </c>
      <c r="AL85" s="10">
        <v>1</v>
      </c>
      <c r="AM85" s="10">
        <v>3</v>
      </c>
      <c r="AN85" s="10">
        <v>2</v>
      </c>
      <c r="AO85" s="7">
        <f>IFERROR(IF(COUNT(AC85:AN85)=12,(AC85*'[1]Parameter Weights'!$F$7+AD85*'[1]Parameter Weights'!$F$9+AE85*'[1]Parameter Weights'!$F$10+AF85*'[1]Parameter Weights'!$F$11+AG85*'[1]Parameter Weights'!$F$12+AH85*'[1]Parameter Weights'!$F$13+AI85*'[1]Parameter Weights'!$F$14+AJ85*'[1]Parameter Weights'!$F$16+AK85*'[1]Parameter Weights'!$F$17+AL85*'[1]Parameter Weights'!$F$18+AM85*'[1]Parameter Weights'!$F$19+AN85*'[1]Parameter Weights'!$F$20)*20,IF(COUNT(AC85:AN85)=0,"","Incomplete")),"Check inputs")</f>
        <v>64</v>
      </c>
      <c r="AP85" s="8" t="s">
        <v>2</v>
      </c>
      <c r="AQ85" s="9" t="str">
        <f t="shared" si="12"/>
        <v>No</v>
      </c>
      <c r="AR85" s="9" t="s">
        <v>2</v>
      </c>
      <c r="AS85" s="9" t="str">
        <f t="shared" si="11"/>
        <v>Tier 2</v>
      </c>
      <c r="AT85" s="27" t="str">
        <f t="shared" si="13"/>
        <v>Engineering intervention, validate economics at base oil price</v>
      </c>
      <c r="AU85" s="44" t="s">
        <v>1007</v>
      </c>
    </row>
    <row r="86" spans="1:47" ht="50.1" customHeight="1" thickBot="1">
      <c r="A86" s="21">
        <v>78</v>
      </c>
      <c r="B86" s="21" t="s">
        <v>1008</v>
      </c>
      <c r="C86" s="20" t="s">
        <v>59</v>
      </c>
      <c r="D86" s="20" t="s">
        <v>76</v>
      </c>
      <c r="E86" s="20" t="s">
        <v>76</v>
      </c>
      <c r="F86" s="21" t="s">
        <v>1009</v>
      </c>
      <c r="G86" s="21" t="s">
        <v>1010</v>
      </c>
      <c r="H86" s="41" t="s">
        <v>1011</v>
      </c>
      <c r="I86" s="23">
        <v>536.01453739999999</v>
      </c>
      <c r="J86" s="20">
        <v>0</v>
      </c>
      <c r="K86" s="23">
        <f t="shared" si="15"/>
        <v>536.01453739999999</v>
      </c>
      <c r="L86" s="20"/>
      <c r="M86" s="20"/>
      <c r="N86" s="20" t="s">
        <v>63</v>
      </c>
      <c r="O86" s="1" t="s">
        <v>64</v>
      </c>
      <c r="P86" s="70">
        <v>41323</v>
      </c>
      <c r="Q86" s="24">
        <f t="shared" si="16"/>
        <v>13</v>
      </c>
      <c r="R86" s="24">
        <v>0</v>
      </c>
      <c r="S86" s="24" t="s">
        <v>807</v>
      </c>
      <c r="T86" s="20" t="e">
        <f>VLOOKUP(N86,[2]Assessment!$A$4:$BO$101,19,FALSE)</f>
        <v>#N/A</v>
      </c>
      <c r="U86" s="20" t="e">
        <f>VLOOKUP(P86,[2]Assessment!$A$4:$BO$101,19,FALSE)</f>
        <v>#N/A</v>
      </c>
      <c r="V86" s="29" t="s">
        <v>1012</v>
      </c>
      <c r="W86" s="21" t="s">
        <v>972</v>
      </c>
      <c r="X86" s="22" t="s">
        <v>1013</v>
      </c>
      <c r="Y86" s="22" t="s">
        <v>1014</v>
      </c>
      <c r="Z86" s="22" t="s">
        <v>963</v>
      </c>
      <c r="AA86" s="22" t="s">
        <v>1015</v>
      </c>
      <c r="AB86" s="22" t="s">
        <v>1016</v>
      </c>
      <c r="AC86" s="10">
        <v>2</v>
      </c>
      <c r="AD86" s="6">
        <f t="shared" si="14"/>
        <v>4</v>
      </c>
      <c r="AE86" s="10">
        <v>3</v>
      </c>
      <c r="AF86" s="10">
        <v>3</v>
      </c>
      <c r="AG86" s="10">
        <v>3</v>
      </c>
      <c r="AH86" s="10">
        <v>4</v>
      </c>
      <c r="AI86" s="10">
        <v>3</v>
      </c>
      <c r="AJ86" s="10">
        <v>3</v>
      </c>
      <c r="AK86" s="10">
        <v>2</v>
      </c>
      <c r="AL86" s="10">
        <v>2</v>
      </c>
      <c r="AM86" s="10">
        <v>2</v>
      </c>
      <c r="AN86" s="10">
        <v>3</v>
      </c>
      <c r="AO86" s="7">
        <f>IFERROR(IF(COUNT(AC86:AN86)=12,(AC86*'[1]Parameter Weights'!$F$7+AD86*'[1]Parameter Weights'!$F$9+AE86*'[1]Parameter Weights'!$F$10+AF86*'[1]Parameter Weights'!$F$11+AG86*'[1]Parameter Weights'!$F$12+AH86*'[1]Parameter Weights'!$F$13+AI86*'[1]Parameter Weights'!$F$14+AJ86*'[1]Parameter Weights'!$F$16+AK86*'[1]Parameter Weights'!$F$17+AL86*'[1]Parameter Weights'!$F$18+AM86*'[1]Parameter Weights'!$F$19+AN86*'[1]Parameter Weights'!$F$20)*20,IF(COUNT(AC86:AN86)=0,"","Incomplete")),"Check inputs")</f>
        <v>59.000000000000014</v>
      </c>
      <c r="AP86" s="8" t="s">
        <v>2</v>
      </c>
      <c r="AQ86" s="9" t="str">
        <f t="shared" si="12"/>
        <v>No</v>
      </c>
      <c r="AR86" s="9" t="s">
        <v>2</v>
      </c>
      <c r="AS86" s="9" t="str">
        <f t="shared" si="11"/>
        <v>Tier 2</v>
      </c>
      <c r="AT86" s="27" t="str">
        <f t="shared" si="13"/>
        <v>Engineering intervention, validate economics at base oil price</v>
      </c>
      <c r="AU86" s="44" t="s">
        <v>1017</v>
      </c>
    </row>
    <row r="87" spans="1:47" ht="50.1" customHeight="1" thickBot="1">
      <c r="A87" s="21">
        <v>79</v>
      </c>
      <c r="B87" s="21" t="s">
        <v>1018</v>
      </c>
      <c r="C87" s="20" t="s">
        <v>59</v>
      </c>
      <c r="D87" s="20">
        <v>747023.2</v>
      </c>
      <c r="E87" s="20">
        <v>144363.1</v>
      </c>
      <c r="F87" s="21" t="s">
        <v>1019</v>
      </c>
      <c r="G87" s="21" t="s">
        <v>1020</v>
      </c>
      <c r="H87" s="41" t="s">
        <v>1021</v>
      </c>
      <c r="I87" s="23">
        <v>392.84137320000002</v>
      </c>
      <c r="J87" s="20">
        <v>0</v>
      </c>
      <c r="K87" s="23">
        <f t="shared" si="15"/>
        <v>392.84137320000002</v>
      </c>
      <c r="L87" s="20"/>
      <c r="M87" s="20"/>
      <c r="N87" s="20" t="s">
        <v>63</v>
      </c>
      <c r="O87" s="1" t="s">
        <v>64</v>
      </c>
      <c r="P87" s="70">
        <v>43617</v>
      </c>
      <c r="Q87" s="24">
        <f t="shared" si="16"/>
        <v>7</v>
      </c>
      <c r="R87" s="24">
        <v>0</v>
      </c>
      <c r="S87" s="24" t="s">
        <v>807</v>
      </c>
      <c r="T87" s="20" t="e">
        <f>VLOOKUP(N87,[2]Assessment!$A$4:$BO$101,19,FALSE)</f>
        <v>#N/A</v>
      </c>
      <c r="U87" s="20" t="e">
        <f>VLOOKUP(P87,[2]Assessment!$A$4:$BO$101,19,FALSE)</f>
        <v>#N/A</v>
      </c>
      <c r="V87" s="29" t="s">
        <v>1022</v>
      </c>
      <c r="W87" s="21" t="s">
        <v>972</v>
      </c>
      <c r="X87" s="22" t="s">
        <v>1023</v>
      </c>
      <c r="Y87" s="22" t="s">
        <v>1024</v>
      </c>
      <c r="Z87" s="22" t="s">
        <v>963</v>
      </c>
      <c r="AA87" s="22" t="s">
        <v>1025</v>
      </c>
      <c r="AB87" s="22" t="s">
        <v>1026</v>
      </c>
      <c r="AC87" s="10">
        <v>1</v>
      </c>
      <c r="AD87" s="6">
        <f t="shared" si="14"/>
        <v>4</v>
      </c>
      <c r="AE87" s="10">
        <v>1</v>
      </c>
      <c r="AF87" s="10">
        <v>3</v>
      </c>
      <c r="AG87" s="10">
        <v>3</v>
      </c>
      <c r="AH87" s="10">
        <v>5</v>
      </c>
      <c r="AI87" s="10">
        <v>3</v>
      </c>
      <c r="AJ87" s="10">
        <v>5</v>
      </c>
      <c r="AK87" s="10">
        <v>3</v>
      </c>
      <c r="AL87" s="10">
        <v>3</v>
      </c>
      <c r="AM87" s="10">
        <v>2</v>
      </c>
      <c r="AN87" s="10">
        <v>2</v>
      </c>
      <c r="AO87" s="7">
        <f>IFERROR(IF(COUNT(AC87:AN87)=12,(AC87*'[1]Parameter Weights'!$F$7+AD87*'[1]Parameter Weights'!$F$9+AE87*'[1]Parameter Weights'!$F$10+AF87*'[1]Parameter Weights'!$F$11+AG87*'[1]Parameter Weights'!$F$12+AH87*'[1]Parameter Weights'!$F$13+AI87*'[1]Parameter Weights'!$F$14+AJ87*'[1]Parameter Weights'!$F$16+AK87*'[1]Parameter Weights'!$F$17+AL87*'[1]Parameter Weights'!$F$18+AM87*'[1]Parameter Weights'!$F$19+AN87*'[1]Parameter Weights'!$F$20)*20,IF(COUNT(AC87:AN87)=0,"","Incomplete")),"Check inputs")</f>
        <v>63</v>
      </c>
      <c r="AP87" s="8" t="s">
        <v>2</v>
      </c>
      <c r="AQ87" s="9" t="str">
        <f t="shared" si="12"/>
        <v>No</v>
      </c>
      <c r="AR87" s="9" t="s">
        <v>2</v>
      </c>
      <c r="AS87" s="9" t="str">
        <f t="shared" si="11"/>
        <v>Tier 2</v>
      </c>
      <c r="AT87" s="27" t="str">
        <f t="shared" si="13"/>
        <v>Engineering intervention, validate economics at base oil price</v>
      </c>
      <c r="AU87" s="44" t="s">
        <v>1027</v>
      </c>
    </row>
    <row r="88" spans="1:47" ht="50.1" customHeight="1" thickBot="1">
      <c r="A88" s="21">
        <v>80</v>
      </c>
      <c r="B88" s="21" t="s">
        <v>1028</v>
      </c>
      <c r="C88" s="20" t="s">
        <v>59</v>
      </c>
      <c r="D88" s="20" t="s">
        <v>76</v>
      </c>
      <c r="E88" s="20" t="s">
        <v>76</v>
      </c>
      <c r="F88" s="21" t="s">
        <v>1029</v>
      </c>
      <c r="G88" s="21" t="s">
        <v>1030</v>
      </c>
      <c r="H88" s="41" t="s">
        <v>1031</v>
      </c>
      <c r="I88" s="23">
        <v>603.29210880000005</v>
      </c>
      <c r="J88" s="20">
        <v>0</v>
      </c>
      <c r="K88" s="23">
        <f t="shared" si="15"/>
        <v>603.29210880000005</v>
      </c>
      <c r="L88" s="20"/>
      <c r="M88" s="20"/>
      <c r="N88" s="20" t="s">
        <v>63</v>
      </c>
      <c r="O88" s="1" t="s">
        <v>64</v>
      </c>
      <c r="P88" s="70" t="s">
        <v>76</v>
      </c>
      <c r="Q88" s="24" t="s">
        <v>76</v>
      </c>
      <c r="R88" s="24">
        <v>0</v>
      </c>
      <c r="S88" s="24" t="s">
        <v>807</v>
      </c>
      <c r="T88" s="20" t="e">
        <f>VLOOKUP(N88,[2]Assessment!$A$4:$BO$101,19,FALSE)</f>
        <v>#N/A</v>
      </c>
      <c r="U88" s="20" t="e">
        <f>VLOOKUP(P88,[2]Assessment!$A$4:$BO$101,19,FALSE)</f>
        <v>#N/A</v>
      </c>
      <c r="V88" s="29" t="s">
        <v>1032</v>
      </c>
      <c r="W88" s="21" t="s">
        <v>972</v>
      </c>
      <c r="X88" s="22" t="s">
        <v>1033</v>
      </c>
      <c r="Y88" s="22" t="s">
        <v>1034</v>
      </c>
      <c r="Z88" s="22" t="s">
        <v>963</v>
      </c>
      <c r="AA88" s="22" t="s">
        <v>1035</v>
      </c>
      <c r="AB88" s="22" t="s">
        <v>1036</v>
      </c>
      <c r="AC88" s="10">
        <v>2</v>
      </c>
      <c r="AD88" s="6">
        <f t="shared" si="14"/>
        <v>5</v>
      </c>
      <c r="AE88" s="10">
        <v>3</v>
      </c>
      <c r="AF88" s="10">
        <v>5</v>
      </c>
      <c r="AG88" s="10">
        <v>3</v>
      </c>
      <c r="AH88" s="10">
        <v>5</v>
      </c>
      <c r="AI88" s="10">
        <v>3</v>
      </c>
      <c r="AJ88" s="10">
        <v>3</v>
      </c>
      <c r="AK88" s="10">
        <v>3</v>
      </c>
      <c r="AL88" s="10">
        <v>4</v>
      </c>
      <c r="AM88" s="10">
        <v>2</v>
      </c>
      <c r="AN88" s="10">
        <v>3</v>
      </c>
      <c r="AO88" s="7">
        <f>IFERROR(IF(COUNT(AC88:AN88)=12,(AC88*'[1]Parameter Weights'!$F$7+AD88*'[1]Parameter Weights'!$F$9+AE88*'[1]Parameter Weights'!$F$10+AF88*'[1]Parameter Weights'!$F$11+AG88*'[1]Parameter Weights'!$F$12+AH88*'[1]Parameter Weights'!$F$13+AI88*'[1]Parameter Weights'!$F$14+AJ88*'[1]Parameter Weights'!$F$16+AK88*'[1]Parameter Weights'!$F$17+AL88*'[1]Parameter Weights'!$F$18+AM88*'[1]Parameter Weights'!$F$19+AN88*'[1]Parameter Weights'!$F$20)*20,IF(COUNT(AC88:AN88)=0,"","Incomplete")),"Check inputs")</f>
        <v>70</v>
      </c>
      <c r="AP88" s="8" t="s">
        <v>2</v>
      </c>
      <c r="AQ88" s="9" t="str">
        <f t="shared" si="12"/>
        <v>No</v>
      </c>
      <c r="AR88" s="9" t="s">
        <v>2</v>
      </c>
      <c r="AS88" s="9" t="str">
        <f t="shared" si="11"/>
        <v>Tier 2</v>
      </c>
      <c r="AT88" s="27" t="str">
        <f t="shared" si="13"/>
        <v>Engineering intervention, validate economics at base oil price</v>
      </c>
      <c r="AU88" s="44" t="s">
        <v>1037</v>
      </c>
    </row>
    <row r="89" spans="1:47" ht="50.1" customHeight="1" thickBot="1">
      <c r="A89" s="21">
        <v>81</v>
      </c>
      <c r="B89" s="21" t="s">
        <v>1038</v>
      </c>
      <c r="C89" s="20" t="s">
        <v>59</v>
      </c>
      <c r="D89" s="20" t="s">
        <v>76</v>
      </c>
      <c r="E89" s="20" t="s">
        <v>76</v>
      </c>
      <c r="F89" s="21" t="s">
        <v>1039</v>
      </c>
      <c r="G89" s="21" t="s">
        <v>1040</v>
      </c>
      <c r="H89" s="41" t="s">
        <v>1041</v>
      </c>
      <c r="I89" s="23">
        <v>547.17191260000004</v>
      </c>
      <c r="J89" s="20">
        <v>0</v>
      </c>
      <c r="K89" s="23">
        <f t="shared" si="15"/>
        <v>547.17191260000004</v>
      </c>
      <c r="L89" s="20"/>
      <c r="M89" s="20"/>
      <c r="N89" s="20" t="s">
        <v>63</v>
      </c>
      <c r="O89" s="1" t="s">
        <v>64</v>
      </c>
      <c r="P89" s="70">
        <v>40974</v>
      </c>
      <c r="Q89" s="24">
        <f t="shared" ref="Q89:Q94" si="17">2026-YEAR(P89)</f>
        <v>14</v>
      </c>
      <c r="R89" s="24">
        <v>0</v>
      </c>
      <c r="S89" s="24" t="s">
        <v>807</v>
      </c>
      <c r="T89" s="20" t="e">
        <f>VLOOKUP(N89,[2]Assessment!$A$4:$BO$101,19,FALSE)</f>
        <v>#N/A</v>
      </c>
      <c r="U89" s="20" t="e">
        <f>VLOOKUP(P89,[2]Assessment!$A$4:$BO$101,19,FALSE)</f>
        <v>#N/A</v>
      </c>
      <c r="V89" s="29" t="s">
        <v>1042</v>
      </c>
      <c r="W89" s="21" t="s">
        <v>972</v>
      </c>
      <c r="X89" s="22" t="s">
        <v>1043</v>
      </c>
      <c r="Y89" s="22" t="s">
        <v>1044</v>
      </c>
      <c r="Z89" s="22" t="s">
        <v>963</v>
      </c>
      <c r="AA89" s="22" t="s">
        <v>1045</v>
      </c>
      <c r="AB89" s="22" t="s">
        <v>1026</v>
      </c>
      <c r="AC89" s="10">
        <v>1</v>
      </c>
      <c r="AD89" s="6">
        <f t="shared" si="14"/>
        <v>4</v>
      </c>
      <c r="AE89" s="10">
        <v>1</v>
      </c>
      <c r="AF89" s="10">
        <v>1</v>
      </c>
      <c r="AG89" s="10">
        <v>3</v>
      </c>
      <c r="AH89" s="10">
        <v>5</v>
      </c>
      <c r="AI89" s="10">
        <v>3</v>
      </c>
      <c r="AJ89" s="10">
        <v>4</v>
      </c>
      <c r="AK89" s="10">
        <v>1</v>
      </c>
      <c r="AL89" s="10">
        <v>2</v>
      </c>
      <c r="AM89" s="10">
        <v>1</v>
      </c>
      <c r="AN89" s="10">
        <v>3</v>
      </c>
      <c r="AO89" s="7">
        <f>IFERROR(IF(COUNT(AC89:AN89)=12,(AC89*'[1]Parameter Weights'!$F$7+AD89*'[1]Parameter Weights'!$F$9+AE89*'[1]Parameter Weights'!$F$10+AF89*'[1]Parameter Weights'!$F$11+AG89*'[1]Parameter Weights'!$F$12+AH89*'[1]Parameter Weights'!$F$13+AI89*'[1]Parameter Weights'!$F$14+AJ89*'[1]Parameter Weights'!$F$16+AK89*'[1]Parameter Weights'!$F$17+AL89*'[1]Parameter Weights'!$F$18+AM89*'[1]Parameter Weights'!$F$19+AN89*'[1]Parameter Weights'!$F$20)*20,IF(COUNT(AC89:AN89)=0,"","Incomplete")),"Check inputs")</f>
        <v>53.999999999999993</v>
      </c>
      <c r="AP89" s="8" t="s">
        <v>2</v>
      </c>
      <c r="AQ89" s="9" t="str">
        <f t="shared" si="12"/>
        <v>No</v>
      </c>
      <c r="AR89" s="9" t="s">
        <v>2</v>
      </c>
      <c r="AS89" s="9" t="str">
        <f t="shared" si="11"/>
        <v>Tier 3</v>
      </c>
      <c r="AT89" s="27" t="str">
        <f t="shared" si="13"/>
        <v>Major workover, execute after Tier 1 and 2 validate economics</v>
      </c>
      <c r="AU89" s="44" t="s">
        <v>1046</v>
      </c>
    </row>
    <row r="90" spans="1:47" ht="50.1" customHeight="1" thickBot="1">
      <c r="A90" s="21">
        <v>82</v>
      </c>
      <c r="B90" s="21" t="s">
        <v>1047</v>
      </c>
      <c r="C90" s="20" t="s">
        <v>59</v>
      </c>
      <c r="D90" s="20" t="s">
        <v>76</v>
      </c>
      <c r="E90" s="20" t="s">
        <v>76</v>
      </c>
      <c r="F90" s="21" t="s">
        <v>1048</v>
      </c>
      <c r="G90" s="21" t="s">
        <v>1049</v>
      </c>
      <c r="H90" s="41" t="s">
        <v>1050</v>
      </c>
      <c r="I90" s="23">
        <v>519.11181450000004</v>
      </c>
      <c r="J90" s="20">
        <v>0</v>
      </c>
      <c r="K90" s="23">
        <f t="shared" si="15"/>
        <v>519.11181450000004</v>
      </c>
      <c r="L90" s="20"/>
      <c r="M90" s="20"/>
      <c r="N90" s="20" t="s">
        <v>63</v>
      </c>
      <c r="O90" s="1" t="s">
        <v>64</v>
      </c>
      <c r="P90" s="70">
        <v>40452</v>
      </c>
      <c r="Q90" s="24">
        <f t="shared" si="17"/>
        <v>16</v>
      </c>
      <c r="R90" s="24">
        <v>0</v>
      </c>
      <c r="S90" s="24" t="s">
        <v>807</v>
      </c>
      <c r="T90" s="20" t="e">
        <f>VLOOKUP(N90,[2]Assessment!$A$4:$BO$101,19,FALSE)</f>
        <v>#N/A</v>
      </c>
      <c r="U90" s="20" t="e">
        <f>VLOOKUP(P90,[2]Assessment!$A$4:$BO$101,19,FALSE)</f>
        <v>#N/A</v>
      </c>
      <c r="V90" s="29" t="s">
        <v>1051</v>
      </c>
      <c r="W90" s="21" t="s">
        <v>972</v>
      </c>
      <c r="X90" s="22" t="s">
        <v>1052</v>
      </c>
      <c r="Y90" s="22" t="s">
        <v>1053</v>
      </c>
      <c r="Z90" s="22" t="s">
        <v>963</v>
      </c>
      <c r="AA90" s="22" t="s">
        <v>1054</v>
      </c>
      <c r="AB90" s="22" t="s">
        <v>1055</v>
      </c>
      <c r="AC90" s="10">
        <v>3</v>
      </c>
      <c r="AD90" s="6">
        <f t="shared" si="14"/>
        <v>4</v>
      </c>
      <c r="AE90" s="10">
        <v>3</v>
      </c>
      <c r="AF90" s="10">
        <v>3</v>
      </c>
      <c r="AG90" s="10">
        <v>3</v>
      </c>
      <c r="AH90" s="10">
        <v>4</v>
      </c>
      <c r="AI90" s="10">
        <v>3</v>
      </c>
      <c r="AJ90" s="10">
        <v>3</v>
      </c>
      <c r="AK90" s="10">
        <v>3</v>
      </c>
      <c r="AL90" s="10">
        <v>2</v>
      </c>
      <c r="AM90" s="10">
        <v>2</v>
      </c>
      <c r="AN90" s="10">
        <v>3</v>
      </c>
      <c r="AO90" s="7">
        <f>IFERROR(IF(COUNT(AC90:AN90)=12,(AC90*'[1]Parameter Weights'!$F$7+AD90*'[1]Parameter Weights'!$F$9+AE90*'[1]Parameter Weights'!$F$10+AF90*'[1]Parameter Weights'!$F$11+AG90*'[1]Parameter Weights'!$F$12+AH90*'[1]Parameter Weights'!$F$13+AI90*'[1]Parameter Weights'!$F$14+AJ90*'[1]Parameter Weights'!$F$16+AK90*'[1]Parameter Weights'!$F$17+AL90*'[1]Parameter Weights'!$F$18+AM90*'[1]Parameter Weights'!$F$19+AN90*'[1]Parameter Weights'!$F$20)*20,IF(COUNT(AC90:AN90)=0,"","Incomplete")),"Check inputs")</f>
        <v>63</v>
      </c>
      <c r="AP90" s="8" t="s">
        <v>2</v>
      </c>
      <c r="AQ90" s="9" t="str">
        <f t="shared" si="12"/>
        <v>No</v>
      </c>
      <c r="AR90" s="9" t="s">
        <v>2</v>
      </c>
      <c r="AS90" s="9" t="str">
        <f t="shared" si="11"/>
        <v>Tier 2</v>
      </c>
      <c r="AT90" s="27" t="str">
        <f t="shared" si="13"/>
        <v>Engineering intervention, validate economics at base oil price</v>
      </c>
      <c r="AU90" s="28" t="s">
        <v>1056</v>
      </c>
    </row>
    <row r="91" spans="1:47" ht="50.1" customHeight="1" thickBot="1">
      <c r="A91" s="21">
        <v>83</v>
      </c>
      <c r="B91" s="21" t="s">
        <v>1057</v>
      </c>
      <c r="C91" s="20" t="s">
        <v>59</v>
      </c>
      <c r="D91" s="20" t="s">
        <v>76</v>
      </c>
      <c r="E91" s="20" t="s">
        <v>76</v>
      </c>
      <c r="F91" s="21" t="s">
        <v>1058</v>
      </c>
      <c r="G91" s="21" t="s">
        <v>1059</v>
      </c>
      <c r="H91" s="41" t="s">
        <v>1060</v>
      </c>
      <c r="I91" s="23">
        <v>771.6526973</v>
      </c>
      <c r="J91" s="20">
        <v>0</v>
      </c>
      <c r="K91" s="23">
        <f t="shared" si="15"/>
        <v>771.6526973</v>
      </c>
      <c r="L91" s="20"/>
      <c r="M91" s="20"/>
      <c r="N91" s="20" t="s">
        <v>63</v>
      </c>
      <c r="O91" s="1" t="s">
        <v>64</v>
      </c>
      <c r="P91" s="70">
        <v>40808</v>
      </c>
      <c r="Q91" s="24">
        <f t="shared" si="17"/>
        <v>15</v>
      </c>
      <c r="R91" s="24">
        <v>0</v>
      </c>
      <c r="S91" s="24" t="s">
        <v>807</v>
      </c>
      <c r="T91" s="20" t="e">
        <f>VLOOKUP(N91,[2]Assessment!$A$4:$BO$101,19,FALSE)</f>
        <v>#N/A</v>
      </c>
      <c r="U91" s="20" t="e">
        <f>VLOOKUP(P91,[2]Assessment!$A$4:$BO$101,19,FALSE)</f>
        <v>#N/A</v>
      </c>
      <c r="V91" s="29" t="s">
        <v>1061</v>
      </c>
      <c r="W91" s="21" t="s">
        <v>972</v>
      </c>
      <c r="X91" s="22" t="s">
        <v>1062</v>
      </c>
      <c r="Y91" s="22" t="s">
        <v>1063</v>
      </c>
      <c r="Z91" s="22" t="s">
        <v>963</v>
      </c>
      <c r="AA91" s="22" t="s">
        <v>1064</v>
      </c>
      <c r="AB91" s="22" t="s">
        <v>1065</v>
      </c>
      <c r="AC91" s="10">
        <v>2</v>
      </c>
      <c r="AD91" s="6">
        <f t="shared" si="14"/>
        <v>5</v>
      </c>
      <c r="AE91" s="10">
        <v>3</v>
      </c>
      <c r="AF91" s="10">
        <v>3</v>
      </c>
      <c r="AG91" s="10">
        <v>3</v>
      </c>
      <c r="AH91" s="10">
        <v>3</v>
      </c>
      <c r="AI91" s="10">
        <v>3</v>
      </c>
      <c r="AJ91" s="10">
        <v>3</v>
      </c>
      <c r="AK91" s="10">
        <v>2</v>
      </c>
      <c r="AL91" s="10">
        <v>2</v>
      </c>
      <c r="AM91" s="10">
        <v>2</v>
      </c>
      <c r="AN91" s="10">
        <v>3</v>
      </c>
      <c r="AO91" s="7">
        <f>IFERROR(IF(COUNT(AC91:AN91)=12,(AC91*'[1]Parameter Weights'!$F$7+AD91*'[1]Parameter Weights'!$F$9+AE91*'[1]Parameter Weights'!$F$10+AF91*'[1]Parameter Weights'!$F$11+AG91*'[1]Parameter Weights'!$F$12+AH91*'[1]Parameter Weights'!$F$13+AI91*'[1]Parameter Weights'!$F$14+AJ91*'[1]Parameter Weights'!$F$16+AK91*'[1]Parameter Weights'!$F$17+AL91*'[1]Parameter Weights'!$F$18+AM91*'[1]Parameter Weights'!$F$19+AN91*'[1]Parameter Weights'!$F$20)*20,IF(COUNT(AC91:AN91)=0,"","Incomplete")),"Check inputs")</f>
        <v>60.000000000000007</v>
      </c>
      <c r="AP91" s="8" t="s">
        <v>2</v>
      </c>
      <c r="AQ91" s="9" t="str">
        <f t="shared" si="12"/>
        <v>No</v>
      </c>
      <c r="AR91" s="9" t="s">
        <v>2</v>
      </c>
      <c r="AS91" s="9" t="str">
        <f t="shared" si="11"/>
        <v>Tier 2</v>
      </c>
      <c r="AT91" s="27" t="str">
        <f t="shared" si="13"/>
        <v>Engineering intervention, validate economics at base oil price</v>
      </c>
      <c r="AU91" s="28" t="s">
        <v>1066</v>
      </c>
    </row>
    <row r="92" spans="1:47" ht="50.1" customHeight="1" thickBot="1">
      <c r="A92" s="21">
        <v>84</v>
      </c>
      <c r="B92" s="21" t="s">
        <v>1067</v>
      </c>
      <c r="C92" s="20" t="s">
        <v>59</v>
      </c>
      <c r="D92" s="20" t="s">
        <v>76</v>
      </c>
      <c r="E92" s="20" t="s">
        <v>76</v>
      </c>
      <c r="F92" s="21" t="s">
        <v>1068</v>
      </c>
      <c r="G92" s="21" t="s">
        <v>1069</v>
      </c>
      <c r="H92" s="41" t="s">
        <v>1070</v>
      </c>
      <c r="I92" s="23">
        <v>434.93152029999999</v>
      </c>
      <c r="J92" s="20">
        <v>0</v>
      </c>
      <c r="K92" s="23">
        <f t="shared" si="15"/>
        <v>434.93152029999999</v>
      </c>
      <c r="L92" s="20"/>
      <c r="M92" s="20"/>
      <c r="N92" s="20" t="s">
        <v>63</v>
      </c>
      <c r="O92" s="1" t="s">
        <v>64</v>
      </c>
      <c r="P92" s="70">
        <v>40983</v>
      </c>
      <c r="Q92" s="24">
        <f t="shared" si="17"/>
        <v>14</v>
      </c>
      <c r="R92" s="24">
        <v>0</v>
      </c>
      <c r="S92" s="24" t="s">
        <v>807</v>
      </c>
      <c r="T92" s="20" t="e">
        <f>VLOOKUP(N92,[2]Assessment!$A$4:$BO$101,19,FALSE)</f>
        <v>#N/A</v>
      </c>
      <c r="U92" s="20" t="e">
        <f>VLOOKUP(P92,[2]Assessment!$A$4:$BO$101,19,FALSE)</f>
        <v>#N/A</v>
      </c>
      <c r="V92" s="29" t="s">
        <v>1071</v>
      </c>
      <c r="W92" s="21" t="s">
        <v>972</v>
      </c>
      <c r="X92" s="22" t="s">
        <v>1072</v>
      </c>
      <c r="Y92" s="22" t="s">
        <v>1073</v>
      </c>
      <c r="Z92" s="22" t="s">
        <v>963</v>
      </c>
      <c r="AA92" s="22" t="s">
        <v>1074</v>
      </c>
      <c r="AB92" s="22" t="s">
        <v>1075</v>
      </c>
      <c r="AC92" s="10">
        <v>1</v>
      </c>
      <c r="AD92" s="6">
        <f t="shared" si="14"/>
        <v>4</v>
      </c>
      <c r="AE92" s="10">
        <v>3</v>
      </c>
      <c r="AF92" s="10">
        <v>5</v>
      </c>
      <c r="AG92" s="10">
        <v>3</v>
      </c>
      <c r="AH92" s="10">
        <v>5</v>
      </c>
      <c r="AI92" s="10">
        <v>3</v>
      </c>
      <c r="AJ92" s="10">
        <v>3</v>
      </c>
      <c r="AK92" s="10">
        <v>2</v>
      </c>
      <c r="AL92" s="10">
        <v>3</v>
      </c>
      <c r="AM92" s="10">
        <v>3</v>
      </c>
      <c r="AN92" s="10">
        <v>2</v>
      </c>
      <c r="AO92" s="7">
        <f>IFERROR(IF(COUNT(AC92:AN92)=12,(AC92*'[1]Parameter Weights'!$F$7+AD92*'[1]Parameter Weights'!$F$9+AE92*'[1]Parameter Weights'!$F$10+AF92*'[1]Parameter Weights'!$F$11+AG92*'[1]Parameter Weights'!$F$12+AH92*'[1]Parameter Weights'!$F$13+AI92*'[1]Parameter Weights'!$F$14+AJ92*'[1]Parameter Weights'!$F$16+AK92*'[1]Parameter Weights'!$F$17+AL92*'[1]Parameter Weights'!$F$18+AM92*'[1]Parameter Weights'!$F$19+AN92*'[1]Parameter Weights'!$F$20)*20,IF(COUNT(AC92:AN92)=0,"","Incomplete")),"Check inputs")</f>
        <v>62</v>
      </c>
      <c r="AP92" s="8" t="s">
        <v>2</v>
      </c>
      <c r="AQ92" s="9" t="str">
        <f t="shared" si="12"/>
        <v>No</v>
      </c>
      <c r="AR92" s="9" t="s">
        <v>2</v>
      </c>
      <c r="AS92" s="9" t="str">
        <f t="shared" si="11"/>
        <v>Tier 2</v>
      </c>
      <c r="AT92" s="27" t="str">
        <f t="shared" si="13"/>
        <v>Engineering intervention, validate economics at base oil price</v>
      </c>
      <c r="AU92" s="28" t="s">
        <v>1076</v>
      </c>
    </row>
    <row r="93" spans="1:47" ht="50.1" customHeight="1" thickBot="1">
      <c r="A93" s="21">
        <v>85</v>
      </c>
      <c r="B93" s="21" t="s">
        <v>1077</v>
      </c>
      <c r="C93" s="20" t="s">
        <v>59</v>
      </c>
      <c r="D93" s="20" t="s">
        <v>76</v>
      </c>
      <c r="E93" s="20" t="s">
        <v>76</v>
      </c>
      <c r="F93" s="21" t="s">
        <v>1078</v>
      </c>
      <c r="G93" s="21" t="s">
        <v>1079</v>
      </c>
      <c r="H93" s="41" t="s">
        <v>1080</v>
      </c>
      <c r="I93" s="23">
        <v>659.41230489999998</v>
      </c>
      <c r="J93" s="20">
        <v>0</v>
      </c>
      <c r="K93" s="23">
        <f t="shared" si="15"/>
        <v>659.41230489999998</v>
      </c>
      <c r="L93" s="20"/>
      <c r="M93" s="20"/>
      <c r="N93" s="20" t="s">
        <v>63</v>
      </c>
      <c r="O93" s="1" t="s">
        <v>64</v>
      </c>
      <c r="P93" s="70">
        <v>43522</v>
      </c>
      <c r="Q93" s="24">
        <f t="shared" si="17"/>
        <v>7</v>
      </c>
      <c r="R93" s="24">
        <v>0</v>
      </c>
      <c r="S93" s="24" t="s">
        <v>807</v>
      </c>
      <c r="T93" s="20" t="e">
        <f>VLOOKUP(N93,[2]Assessment!$A$4:$BO$101,19,FALSE)</f>
        <v>#N/A</v>
      </c>
      <c r="U93" s="20" t="e">
        <f>VLOOKUP(P93,[2]Assessment!$A$4:$BO$101,19,FALSE)</f>
        <v>#N/A</v>
      </c>
      <c r="V93" s="29" t="s">
        <v>1081</v>
      </c>
      <c r="W93" s="21" t="s">
        <v>972</v>
      </c>
      <c r="X93" s="22" t="s">
        <v>1082</v>
      </c>
      <c r="Y93" s="22" t="s">
        <v>1083</v>
      </c>
      <c r="Z93" s="22" t="s">
        <v>963</v>
      </c>
      <c r="AA93" s="22" t="s">
        <v>1084</v>
      </c>
      <c r="AB93" s="22" t="s">
        <v>1085</v>
      </c>
      <c r="AC93" s="10">
        <v>3</v>
      </c>
      <c r="AD93" s="6">
        <f t="shared" si="14"/>
        <v>5</v>
      </c>
      <c r="AE93" s="10">
        <v>3</v>
      </c>
      <c r="AF93" s="10">
        <v>3</v>
      </c>
      <c r="AG93" s="10">
        <v>2</v>
      </c>
      <c r="AH93" s="10">
        <v>3</v>
      </c>
      <c r="AI93" s="10">
        <v>3</v>
      </c>
      <c r="AJ93" s="10">
        <v>3</v>
      </c>
      <c r="AK93" s="10">
        <v>3</v>
      </c>
      <c r="AL93" s="10">
        <v>1</v>
      </c>
      <c r="AM93" s="10">
        <v>3</v>
      </c>
      <c r="AN93" s="10">
        <v>3</v>
      </c>
      <c r="AO93" s="7">
        <f>IFERROR(IF(COUNT(AC93:AN93)=12,(AC93*'[1]Parameter Weights'!$F$7+AD93*'[1]Parameter Weights'!$F$9+AE93*'[1]Parameter Weights'!$F$10+AF93*'[1]Parameter Weights'!$F$11+AG93*'[1]Parameter Weights'!$F$12+AH93*'[1]Parameter Weights'!$F$13+AI93*'[1]Parameter Weights'!$F$14+AJ93*'[1]Parameter Weights'!$F$16+AK93*'[1]Parameter Weights'!$F$17+AL93*'[1]Parameter Weights'!$F$18+AM93*'[1]Parameter Weights'!$F$19+AN93*'[1]Parameter Weights'!$F$20)*20,IF(COUNT(AC93:AN93)=0,"","Incomplete")),"Check inputs")</f>
        <v>61</v>
      </c>
      <c r="AP93" s="8" t="s">
        <v>2</v>
      </c>
      <c r="AQ93" s="9" t="str">
        <f t="shared" si="12"/>
        <v>No</v>
      </c>
      <c r="AR93" s="9" t="s">
        <v>2</v>
      </c>
      <c r="AS93" s="9" t="str">
        <f t="shared" si="11"/>
        <v>Tier 2</v>
      </c>
      <c r="AT93" s="27" t="str">
        <f t="shared" si="13"/>
        <v>Engineering intervention, validate economics at base oil price</v>
      </c>
      <c r="AU93" s="28" t="s">
        <v>1086</v>
      </c>
    </row>
    <row r="94" spans="1:47" ht="50.1" customHeight="1" thickBot="1">
      <c r="A94" s="21">
        <v>86</v>
      </c>
      <c r="B94" s="21" t="s">
        <v>1087</v>
      </c>
      <c r="C94" s="20" t="s">
        <v>59</v>
      </c>
      <c r="D94" s="20">
        <v>746025.78</v>
      </c>
      <c r="E94" s="20">
        <v>143299.95000000001</v>
      </c>
      <c r="F94" s="21" t="s">
        <v>1088</v>
      </c>
      <c r="G94" s="21" t="s">
        <v>1089</v>
      </c>
      <c r="H94" s="41" t="s">
        <v>1090</v>
      </c>
      <c r="I94" s="23">
        <v>196.42068660000001</v>
      </c>
      <c r="J94" s="20">
        <v>0</v>
      </c>
      <c r="K94" s="23">
        <f t="shared" si="15"/>
        <v>196.42068660000001</v>
      </c>
      <c r="L94" s="20"/>
      <c r="M94" s="20"/>
      <c r="N94" s="20" t="s">
        <v>63</v>
      </c>
      <c r="O94" s="1" t="s">
        <v>64</v>
      </c>
      <c r="P94" s="70">
        <v>38047</v>
      </c>
      <c r="Q94" s="24">
        <f t="shared" si="17"/>
        <v>22</v>
      </c>
      <c r="R94" s="24">
        <v>0</v>
      </c>
      <c r="S94" s="24" t="s">
        <v>807</v>
      </c>
      <c r="T94" s="20" t="e">
        <f>VLOOKUP(N94,[2]Assessment!$A$4:$BO$101,19,FALSE)</f>
        <v>#N/A</v>
      </c>
      <c r="U94" s="20" t="e">
        <f>VLOOKUP(P94,[2]Assessment!$A$4:$BO$101,19,FALSE)</f>
        <v>#N/A</v>
      </c>
      <c r="V94" s="29" t="s">
        <v>1091</v>
      </c>
      <c r="W94" s="21" t="s">
        <v>972</v>
      </c>
      <c r="X94" s="22" t="s">
        <v>1092</v>
      </c>
      <c r="Y94" s="22" t="s">
        <v>1093</v>
      </c>
      <c r="Z94" s="22" t="s">
        <v>963</v>
      </c>
      <c r="AA94" s="22" t="s">
        <v>1094</v>
      </c>
      <c r="AB94" s="22" t="s">
        <v>1095</v>
      </c>
      <c r="AC94" s="10">
        <v>3</v>
      </c>
      <c r="AD94" s="6">
        <f t="shared" si="14"/>
        <v>3</v>
      </c>
      <c r="AE94" s="10">
        <v>3</v>
      </c>
      <c r="AF94" s="10">
        <v>3</v>
      </c>
      <c r="AG94" s="10">
        <v>3</v>
      </c>
      <c r="AH94" s="10">
        <v>3</v>
      </c>
      <c r="AI94" s="10">
        <v>3</v>
      </c>
      <c r="AJ94" s="10">
        <v>4</v>
      </c>
      <c r="AK94" s="10">
        <v>3</v>
      </c>
      <c r="AL94" s="10">
        <v>2</v>
      </c>
      <c r="AM94" s="10">
        <v>2</v>
      </c>
      <c r="AN94" s="10">
        <v>3</v>
      </c>
      <c r="AO94" s="7">
        <f>IFERROR(IF(COUNT(AC94:AN94)=12,(AC94*'[1]Parameter Weights'!$F$7+AD94*'[1]Parameter Weights'!$F$9+AE94*'[1]Parameter Weights'!$F$10+AF94*'[1]Parameter Weights'!$F$11+AG94*'[1]Parameter Weights'!$F$12+AH94*'[1]Parameter Weights'!$F$13+AI94*'[1]Parameter Weights'!$F$14+AJ94*'[1]Parameter Weights'!$F$16+AK94*'[1]Parameter Weights'!$F$17+AL94*'[1]Parameter Weights'!$F$18+AM94*'[1]Parameter Weights'!$F$19+AN94*'[1]Parameter Weights'!$F$20)*20,IF(COUNT(AC94:AN94)=0,"","Incomplete")),"Check inputs")</f>
        <v>60.000000000000007</v>
      </c>
      <c r="AP94" s="8" t="s">
        <v>2</v>
      </c>
      <c r="AQ94" s="9" t="str">
        <f t="shared" si="12"/>
        <v>No</v>
      </c>
      <c r="AR94" s="9" t="s">
        <v>2</v>
      </c>
      <c r="AS94" s="9" t="str">
        <f t="shared" si="11"/>
        <v>Tier 2</v>
      </c>
      <c r="AT94" s="27" t="str">
        <f t="shared" si="13"/>
        <v>Engineering intervention, validate economics at base oil price</v>
      </c>
      <c r="AU94" s="28" t="s">
        <v>1096</v>
      </c>
    </row>
    <row r="95" spans="1:47" ht="50.1" customHeight="1" thickBot="1">
      <c r="A95" s="21">
        <v>87</v>
      </c>
      <c r="B95" s="21" t="s">
        <v>1097</v>
      </c>
      <c r="C95" s="20" t="s">
        <v>59</v>
      </c>
      <c r="D95" s="20" t="s">
        <v>76</v>
      </c>
      <c r="E95" s="20" t="s">
        <v>76</v>
      </c>
      <c r="F95" s="21" t="s">
        <v>1098</v>
      </c>
      <c r="G95" s="21" t="s">
        <v>1099</v>
      </c>
      <c r="H95" s="41" t="s">
        <v>1100</v>
      </c>
      <c r="I95" s="23">
        <v>645.38225590000002</v>
      </c>
      <c r="J95" s="20">
        <v>0</v>
      </c>
      <c r="K95" s="23">
        <f t="shared" si="15"/>
        <v>645.38225590000002</v>
      </c>
      <c r="L95" s="20"/>
      <c r="M95" s="20"/>
      <c r="N95" s="20" t="s">
        <v>63</v>
      </c>
      <c r="O95" s="1" t="s">
        <v>64</v>
      </c>
      <c r="P95" s="70" t="s">
        <v>76</v>
      </c>
      <c r="Q95" s="24" t="s">
        <v>76</v>
      </c>
      <c r="R95" s="24">
        <v>0</v>
      </c>
      <c r="S95" s="24" t="s">
        <v>807</v>
      </c>
      <c r="T95" s="20" t="e">
        <f>VLOOKUP(N95,[2]Assessment!$A$4:$BO$101,19,FALSE)</f>
        <v>#N/A</v>
      </c>
      <c r="U95" s="20" t="e">
        <f>VLOOKUP(P95,[2]Assessment!$A$4:$BO$101,19,FALSE)</f>
        <v>#N/A</v>
      </c>
      <c r="V95" s="29" t="s">
        <v>1101</v>
      </c>
      <c r="W95" s="21" t="s">
        <v>972</v>
      </c>
      <c r="X95" s="22" t="s">
        <v>1102</v>
      </c>
      <c r="Y95" s="22" t="s">
        <v>1103</v>
      </c>
      <c r="Z95" s="22" t="s">
        <v>963</v>
      </c>
      <c r="AA95" s="22" t="s">
        <v>1104</v>
      </c>
      <c r="AB95" s="22" t="s">
        <v>1105</v>
      </c>
      <c r="AC95" s="10">
        <v>3</v>
      </c>
      <c r="AD95" s="6">
        <f t="shared" si="14"/>
        <v>5</v>
      </c>
      <c r="AE95" s="10">
        <v>3</v>
      </c>
      <c r="AF95" s="10">
        <v>3</v>
      </c>
      <c r="AG95" s="10">
        <v>3</v>
      </c>
      <c r="AH95" s="10">
        <v>5</v>
      </c>
      <c r="AI95" s="10">
        <v>3</v>
      </c>
      <c r="AJ95" s="10">
        <v>3</v>
      </c>
      <c r="AK95" s="10">
        <v>3</v>
      </c>
      <c r="AL95" s="10">
        <v>2</v>
      </c>
      <c r="AM95" s="10">
        <v>3</v>
      </c>
      <c r="AN95" s="10">
        <v>3</v>
      </c>
      <c r="AO95" s="7">
        <f>IFERROR(IF(COUNT(AC95:AN95)=12,(AC95*'[1]Parameter Weights'!$F$7+AD95*'[1]Parameter Weights'!$F$9+AE95*'[1]Parameter Weights'!$F$10+AF95*'[1]Parameter Weights'!$F$11+AG95*'[1]Parameter Weights'!$F$12+AH95*'[1]Parameter Weights'!$F$13+AI95*'[1]Parameter Weights'!$F$14+AJ95*'[1]Parameter Weights'!$F$16+AK95*'[1]Parameter Weights'!$F$17+AL95*'[1]Parameter Weights'!$F$18+AM95*'[1]Parameter Weights'!$F$19+AN95*'[1]Parameter Weights'!$F$20)*20,IF(COUNT(AC95:AN95)=0,"","Incomplete")),"Check inputs")</f>
        <v>69</v>
      </c>
      <c r="AP95" s="8" t="s">
        <v>2</v>
      </c>
      <c r="AQ95" s="9" t="str">
        <f t="shared" si="12"/>
        <v>No</v>
      </c>
      <c r="AR95" s="9" t="s">
        <v>2</v>
      </c>
      <c r="AS95" s="9" t="str">
        <f t="shared" si="11"/>
        <v>Tier 2</v>
      </c>
      <c r="AT95" s="27" t="str">
        <f t="shared" si="13"/>
        <v>Engineering intervention, validate economics at base oil price</v>
      </c>
      <c r="AU95" s="28" t="s">
        <v>1106</v>
      </c>
    </row>
    <row r="96" spans="1:47" ht="50.1" customHeight="1" thickBot="1">
      <c r="A96" s="21">
        <v>88</v>
      </c>
      <c r="B96" s="21" t="s">
        <v>1107</v>
      </c>
      <c r="C96" s="20" t="s">
        <v>59</v>
      </c>
      <c r="D96" s="20" t="s">
        <v>76</v>
      </c>
      <c r="E96" s="20" t="s">
        <v>76</v>
      </c>
      <c r="F96" s="21" t="s">
        <v>1108</v>
      </c>
      <c r="G96" s="21" t="s">
        <v>1109</v>
      </c>
      <c r="H96" s="41" t="s">
        <v>1110</v>
      </c>
      <c r="I96" s="23">
        <v>364.78127510000002</v>
      </c>
      <c r="J96" s="20">
        <v>0</v>
      </c>
      <c r="K96" s="23">
        <f t="shared" si="15"/>
        <v>364.78127510000002</v>
      </c>
      <c r="L96" s="20"/>
      <c r="M96" s="20"/>
      <c r="N96" s="20" t="s">
        <v>63</v>
      </c>
      <c r="O96" s="1" t="s">
        <v>64</v>
      </c>
      <c r="P96" s="70" t="s">
        <v>76</v>
      </c>
      <c r="Q96" s="24" t="s">
        <v>76</v>
      </c>
      <c r="R96" s="24">
        <v>0</v>
      </c>
      <c r="S96" s="24" t="s">
        <v>807</v>
      </c>
      <c r="T96" s="20" t="e">
        <f>VLOOKUP(N96,[2]Assessment!$A$4:$BO$101,19,FALSE)</f>
        <v>#N/A</v>
      </c>
      <c r="U96" s="20" t="e">
        <f>VLOOKUP(P96,[2]Assessment!$A$4:$BO$101,19,FALSE)</f>
        <v>#N/A</v>
      </c>
      <c r="V96" s="29" t="s">
        <v>1111</v>
      </c>
      <c r="W96" s="21" t="s">
        <v>972</v>
      </c>
      <c r="X96" s="22" t="s">
        <v>1112</v>
      </c>
      <c r="Y96" s="22" t="s">
        <v>1113</v>
      </c>
      <c r="Z96" s="22" t="s">
        <v>963</v>
      </c>
      <c r="AA96" s="22" t="s">
        <v>1114</v>
      </c>
      <c r="AB96" s="22" t="s">
        <v>1115</v>
      </c>
      <c r="AC96" s="10">
        <v>1</v>
      </c>
      <c r="AD96" s="6">
        <f t="shared" si="14"/>
        <v>4</v>
      </c>
      <c r="AE96" s="10">
        <v>3</v>
      </c>
      <c r="AF96" s="10">
        <v>3</v>
      </c>
      <c r="AG96" s="10">
        <v>3</v>
      </c>
      <c r="AH96" s="10">
        <v>5</v>
      </c>
      <c r="AI96" s="10">
        <v>3</v>
      </c>
      <c r="AJ96" s="10">
        <v>3</v>
      </c>
      <c r="AK96" s="10">
        <v>3</v>
      </c>
      <c r="AL96" s="10">
        <v>2</v>
      </c>
      <c r="AM96" s="10">
        <v>3</v>
      </c>
      <c r="AN96" s="10">
        <v>3</v>
      </c>
      <c r="AO96" s="7">
        <f>IFERROR(IF(COUNT(AC96:AN96)=12,(AC96*'[1]Parameter Weights'!$F$7+AD96*'[1]Parameter Weights'!$F$9+AE96*'[1]Parameter Weights'!$F$10+AF96*'[1]Parameter Weights'!$F$11+AG96*'[1]Parameter Weights'!$F$12+AH96*'[1]Parameter Weights'!$F$13+AI96*'[1]Parameter Weights'!$F$14+AJ96*'[1]Parameter Weights'!$F$16+AK96*'[1]Parameter Weights'!$F$17+AL96*'[1]Parameter Weights'!$F$18+AM96*'[1]Parameter Weights'!$F$19+AN96*'[1]Parameter Weights'!$F$20)*20,IF(COUNT(AC96:AN96)=0,"","Incomplete")),"Check inputs")</f>
        <v>62</v>
      </c>
      <c r="AP96" s="8" t="s">
        <v>2</v>
      </c>
      <c r="AQ96" s="9" t="str">
        <f t="shared" si="12"/>
        <v>No</v>
      </c>
      <c r="AR96" s="9" t="s">
        <v>2</v>
      </c>
      <c r="AS96" s="9" t="str">
        <f t="shared" si="11"/>
        <v>Tier 2</v>
      </c>
      <c r="AT96" s="27" t="str">
        <f t="shared" si="13"/>
        <v>Engineering intervention, validate economics at base oil price</v>
      </c>
      <c r="AU96" s="28" t="s">
        <v>1116</v>
      </c>
    </row>
    <row r="97" spans="1:47" ht="50.1" customHeight="1" thickBot="1">
      <c r="A97" s="21">
        <v>89</v>
      </c>
      <c r="B97" s="21" t="s">
        <v>1117</v>
      </c>
      <c r="C97" s="20" t="s">
        <v>59</v>
      </c>
      <c r="D97" s="20" t="s">
        <v>76</v>
      </c>
      <c r="E97" s="20" t="s">
        <v>76</v>
      </c>
      <c r="F97" s="21" t="s">
        <v>1118</v>
      </c>
      <c r="G97" s="21" t="s">
        <v>1119</v>
      </c>
      <c r="H97" s="41" t="s">
        <v>1120</v>
      </c>
      <c r="I97" s="23">
        <v>448.96156930000001</v>
      </c>
      <c r="J97" s="20">
        <v>0</v>
      </c>
      <c r="K97" s="23">
        <f t="shared" si="15"/>
        <v>448.96156930000001</v>
      </c>
      <c r="L97" s="20"/>
      <c r="M97" s="20"/>
      <c r="N97" s="20" t="s">
        <v>63</v>
      </c>
      <c r="O97" s="1" t="s">
        <v>64</v>
      </c>
      <c r="P97" s="70" t="s">
        <v>76</v>
      </c>
      <c r="Q97" s="24" t="s">
        <v>76</v>
      </c>
      <c r="R97" s="24">
        <v>0</v>
      </c>
      <c r="S97" s="24" t="s">
        <v>807</v>
      </c>
      <c r="T97" s="20" t="e">
        <f>VLOOKUP(N97,[2]Assessment!$A$4:$BO$101,19,FALSE)</f>
        <v>#N/A</v>
      </c>
      <c r="U97" s="20" t="e">
        <f>VLOOKUP(P97,[2]Assessment!$A$4:$BO$101,19,FALSE)</f>
        <v>#N/A</v>
      </c>
      <c r="V97" s="22" t="s">
        <v>1121</v>
      </c>
      <c r="W97" s="21" t="s">
        <v>1122</v>
      </c>
      <c r="X97" s="22" t="s">
        <v>1123</v>
      </c>
      <c r="Y97" s="22" t="s">
        <v>1124</v>
      </c>
      <c r="Z97" s="22" t="s">
        <v>1125</v>
      </c>
      <c r="AA97" s="22" t="s">
        <v>1126</v>
      </c>
      <c r="AB97" s="22" t="s">
        <v>1127</v>
      </c>
      <c r="AC97" s="10">
        <v>3</v>
      </c>
      <c r="AD97" s="6">
        <f t="shared" si="14"/>
        <v>4</v>
      </c>
      <c r="AE97" s="10">
        <v>3</v>
      </c>
      <c r="AF97" s="10">
        <v>3</v>
      </c>
      <c r="AG97" s="10">
        <v>3</v>
      </c>
      <c r="AH97" s="10">
        <v>3</v>
      </c>
      <c r="AI97" s="10">
        <v>3</v>
      </c>
      <c r="AJ97" s="10">
        <v>4</v>
      </c>
      <c r="AK97" s="10">
        <v>3</v>
      </c>
      <c r="AL97" s="10">
        <v>2</v>
      </c>
      <c r="AM97" s="10">
        <v>2</v>
      </c>
      <c r="AN97" s="10">
        <v>3</v>
      </c>
      <c r="AO97" s="7">
        <f>IFERROR(IF(COUNT(AC97:AN97)=12,(AC97*'[1]Parameter Weights'!$F$7+AD97*'[1]Parameter Weights'!$F$9+AE97*'[1]Parameter Weights'!$F$10+AF97*'[1]Parameter Weights'!$F$11+AG97*'[1]Parameter Weights'!$F$12+AH97*'[1]Parameter Weights'!$F$13+AI97*'[1]Parameter Weights'!$F$14+AJ97*'[1]Parameter Weights'!$F$16+AK97*'[1]Parameter Weights'!$F$17+AL97*'[1]Parameter Weights'!$F$18+AM97*'[1]Parameter Weights'!$F$19+AN97*'[1]Parameter Weights'!$F$20)*20,IF(COUNT(AC97:AN97)=0,"","Incomplete")),"Check inputs")</f>
        <v>63</v>
      </c>
      <c r="AP97" s="8" t="s">
        <v>2</v>
      </c>
      <c r="AQ97" s="9" t="str">
        <f t="shared" si="12"/>
        <v>No</v>
      </c>
      <c r="AR97" s="9" t="s">
        <v>2</v>
      </c>
      <c r="AS97" s="9" t="str">
        <f t="shared" si="11"/>
        <v>Tier 2</v>
      </c>
      <c r="AT97" s="27" t="str">
        <f t="shared" si="13"/>
        <v>Engineering intervention, validate economics at base oil price</v>
      </c>
      <c r="AU97" s="28" t="s">
        <v>1128</v>
      </c>
    </row>
    <row r="98" spans="1:47" ht="50.1" customHeight="1" thickBot="1">
      <c r="A98" s="21">
        <v>90</v>
      </c>
      <c r="B98" s="21" t="s">
        <v>1129</v>
      </c>
      <c r="C98" s="20" t="s">
        <v>59</v>
      </c>
      <c r="D98" s="20" t="s">
        <v>76</v>
      </c>
      <c r="E98" s="20" t="s">
        <v>76</v>
      </c>
      <c r="F98" s="21" t="s">
        <v>1130</v>
      </c>
      <c r="G98" s="21" t="s">
        <v>1131</v>
      </c>
      <c r="H98" s="41" t="s">
        <v>1132</v>
      </c>
      <c r="I98" s="23">
        <v>0</v>
      </c>
      <c r="J98" s="20">
        <v>0</v>
      </c>
      <c r="K98" s="23">
        <f t="shared" si="15"/>
        <v>0</v>
      </c>
      <c r="L98" s="20"/>
      <c r="M98" s="20"/>
      <c r="N98" s="20" t="s">
        <v>63</v>
      </c>
      <c r="O98" s="1" t="s">
        <v>64</v>
      </c>
      <c r="P98" s="70" t="s">
        <v>76</v>
      </c>
      <c r="Q98" s="24" t="s">
        <v>76</v>
      </c>
      <c r="R98" s="24">
        <v>0</v>
      </c>
      <c r="S98" s="24" t="s">
        <v>807</v>
      </c>
      <c r="T98" s="20" t="e">
        <f>VLOOKUP(N98,[2]Assessment!$A$4:$BO$101,19,FALSE)</f>
        <v>#N/A</v>
      </c>
      <c r="U98" s="20" t="e">
        <f>VLOOKUP(P98,[2]Assessment!$A$4:$BO$101,19,FALSE)</f>
        <v>#N/A</v>
      </c>
      <c r="V98" s="29" t="s">
        <v>1133</v>
      </c>
      <c r="W98" s="21" t="s">
        <v>972</v>
      </c>
      <c r="X98" s="22" t="s">
        <v>1134</v>
      </c>
      <c r="Y98" s="22" t="s">
        <v>1135</v>
      </c>
      <c r="Z98" s="22" t="s">
        <v>1136</v>
      </c>
      <c r="AA98" s="22" t="s">
        <v>1137</v>
      </c>
      <c r="AB98" s="22" t="s">
        <v>1138</v>
      </c>
      <c r="AC98" s="10">
        <v>1</v>
      </c>
      <c r="AD98" s="6">
        <f t="shared" si="14"/>
        <v>1</v>
      </c>
      <c r="AE98" s="10">
        <v>2</v>
      </c>
      <c r="AF98" s="10">
        <v>2</v>
      </c>
      <c r="AG98" s="10">
        <v>3</v>
      </c>
      <c r="AH98" s="10">
        <v>1</v>
      </c>
      <c r="AI98" s="10">
        <v>3</v>
      </c>
      <c r="AJ98" s="10">
        <v>2</v>
      </c>
      <c r="AK98" s="10">
        <v>1</v>
      </c>
      <c r="AL98" s="10">
        <v>2</v>
      </c>
      <c r="AM98" s="10">
        <v>2</v>
      </c>
      <c r="AN98" s="10">
        <v>3</v>
      </c>
      <c r="AO98" s="7">
        <f>IFERROR(IF(COUNT(AC98:AN98)=12,(AC98*'[1]Parameter Weights'!$F$7+AD98*'[1]Parameter Weights'!$F$9+AE98*'[1]Parameter Weights'!$F$10+AF98*'[1]Parameter Weights'!$F$11+AG98*'[1]Parameter Weights'!$F$12+AH98*'[1]Parameter Weights'!$F$13+AI98*'[1]Parameter Weights'!$F$14+AJ98*'[1]Parameter Weights'!$F$16+AK98*'[1]Parameter Weights'!$F$17+AL98*'[1]Parameter Weights'!$F$18+AM98*'[1]Parameter Weights'!$F$19+AN98*'[1]Parameter Weights'!$F$20)*20,IF(COUNT(AC98:AN98)=0,"","Incomplete")),"Check inputs")</f>
        <v>36.000000000000007</v>
      </c>
      <c r="AP98" s="8" t="s">
        <v>2</v>
      </c>
      <c r="AQ98" s="9" t="str">
        <f t="shared" si="12"/>
        <v>No</v>
      </c>
      <c r="AR98" s="9" t="s">
        <v>2</v>
      </c>
      <c r="AS98" s="9" t="str">
        <f t="shared" si="11"/>
        <v>Tier 3</v>
      </c>
      <c r="AT98" s="27" t="str">
        <f t="shared" si="13"/>
        <v>Major workover, execute after Tier 1 and 2 validate economics</v>
      </c>
      <c r="AU98" s="28" t="s">
        <v>1139</v>
      </c>
    </row>
    <row r="99" spans="1:47" ht="50.1" customHeight="1" thickBot="1">
      <c r="A99" s="21">
        <v>91</v>
      </c>
      <c r="B99" s="21" t="s">
        <v>1140</v>
      </c>
      <c r="C99" s="20" t="s">
        <v>59</v>
      </c>
      <c r="D99" s="20" t="s">
        <v>76</v>
      </c>
      <c r="E99" s="20" t="s">
        <v>76</v>
      </c>
      <c r="F99" s="21" t="s">
        <v>1141</v>
      </c>
      <c r="G99" s="21" t="s">
        <v>1142</v>
      </c>
      <c r="H99" s="41" t="s">
        <v>1143</v>
      </c>
      <c r="I99" s="23">
        <v>378.81132409999998</v>
      </c>
      <c r="J99" s="20">
        <v>0</v>
      </c>
      <c r="K99" s="23">
        <f t="shared" si="15"/>
        <v>378.81132409999998</v>
      </c>
      <c r="L99" s="20"/>
      <c r="M99" s="20"/>
      <c r="N99" s="20" t="s">
        <v>63</v>
      </c>
      <c r="O99" s="1" t="s">
        <v>64</v>
      </c>
      <c r="P99" s="70" t="s">
        <v>76</v>
      </c>
      <c r="Q99" s="24" t="s">
        <v>76</v>
      </c>
      <c r="R99" s="24">
        <v>0</v>
      </c>
      <c r="S99" s="24" t="s">
        <v>807</v>
      </c>
      <c r="T99" s="20" t="e">
        <f>VLOOKUP(N99,[2]Assessment!$A$4:$BO$101,19,FALSE)</f>
        <v>#N/A</v>
      </c>
      <c r="U99" s="20" t="e">
        <f>VLOOKUP(P99,[2]Assessment!$A$4:$BO$101,19,FALSE)</f>
        <v>#N/A</v>
      </c>
      <c r="V99" s="29" t="s">
        <v>1144</v>
      </c>
      <c r="W99" s="21" t="s">
        <v>972</v>
      </c>
      <c r="X99" s="22" t="s">
        <v>1145</v>
      </c>
      <c r="Y99" s="22" t="s">
        <v>1146</v>
      </c>
      <c r="Z99" s="22" t="s">
        <v>963</v>
      </c>
      <c r="AA99" s="22" t="s">
        <v>1147</v>
      </c>
      <c r="AB99" s="22" t="s">
        <v>1148</v>
      </c>
      <c r="AC99" s="10">
        <v>1</v>
      </c>
      <c r="AD99" s="6">
        <f t="shared" si="14"/>
        <v>4</v>
      </c>
      <c r="AE99" s="10">
        <v>3</v>
      </c>
      <c r="AF99" s="10">
        <v>3</v>
      </c>
      <c r="AG99" s="10">
        <v>3</v>
      </c>
      <c r="AH99" s="10">
        <v>5</v>
      </c>
      <c r="AI99" s="10">
        <v>3</v>
      </c>
      <c r="AJ99" s="10">
        <v>4</v>
      </c>
      <c r="AK99" s="10">
        <v>3</v>
      </c>
      <c r="AL99" s="10">
        <v>3</v>
      </c>
      <c r="AM99" s="10">
        <v>2</v>
      </c>
      <c r="AN99" s="10">
        <v>3</v>
      </c>
      <c r="AO99" s="7">
        <f>IFERROR(IF(COUNT(AC99:AN99)=12,(AC99*'[1]Parameter Weights'!$F$7+AD99*'[1]Parameter Weights'!$F$9+AE99*'[1]Parameter Weights'!$F$10+AF99*'[1]Parameter Weights'!$F$11+AG99*'[1]Parameter Weights'!$F$12+AH99*'[1]Parameter Weights'!$F$13+AI99*'[1]Parameter Weights'!$F$14+AJ99*'[1]Parameter Weights'!$F$16+AK99*'[1]Parameter Weights'!$F$17+AL99*'[1]Parameter Weights'!$F$18+AM99*'[1]Parameter Weights'!$F$19+AN99*'[1]Parameter Weights'!$F$20)*20,IF(COUNT(AC99:AN99)=0,"","Incomplete")),"Check inputs")</f>
        <v>63.999999999999993</v>
      </c>
      <c r="AP99" s="8" t="s">
        <v>2</v>
      </c>
      <c r="AQ99" s="9" t="str">
        <f t="shared" si="12"/>
        <v>No</v>
      </c>
      <c r="AR99" s="9" t="s">
        <v>2</v>
      </c>
      <c r="AS99" s="9" t="str">
        <f t="shared" si="11"/>
        <v>Tier 2</v>
      </c>
      <c r="AT99" s="27" t="str">
        <f t="shared" si="13"/>
        <v>Engineering intervention, validate economics at base oil price</v>
      </c>
      <c r="AU99" s="28" t="s">
        <v>1149</v>
      </c>
    </row>
    <row r="100" spans="1:47" ht="50.1" customHeight="1" thickBot="1">
      <c r="A100" s="21">
        <v>92</v>
      </c>
      <c r="B100" s="21" t="s">
        <v>1150</v>
      </c>
      <c r="C100" s="20" t="s">
        <v>59</v>
      </c>
      <c r="D100" s="20">
        <v>751058.5</v>
      </c>
      <c r="E100" s="20">
        <v>146466.5</v>
      </c>
      <c r="F100" s="21" t="s">
        <v>1151</v>
      </c>
      <c r="G100" s="21" t="s">
        <v>1152</v>
      </c>
      <c r="H100" s="41" t="s">
        <v>1153</v>
      </c>
      <c r="I100" s="23">
        <v>406.87142219999998</v>
      </c>
      <c r="J100" s="20">
        <v>0</v>
      </c>
      <c r="K100" s="23">
        <f t="shared" si="15"/>
        <v>406.87142219999998</v>
      </c>
      <c r="L100" s="20"/>
      <c r="M100" s="20"/>
      <c r="N100" s="20" t="s">
        <v>63</v>
      </c>
      <c r="O100" s="1" t="s">
        <v>64</v>
      </c>
      <c r="P100" s="70" t="s">
        <v>76</v>
      </c>
      <c r="Q100" s="24" t="s">
        <v>76</v>
      </c>
      <c r="R100" s="24">
        <v>0</v>
      </c>
      <c r="S100" s="24" t="s">
        <v>807</v>
      </c>
      <c r="T100" s="20" t="e">
        <f>VLOOKUP(N100,[2]Assessment!$A$4:$BO$101,19,FALSE)</f>
        <v>#N/A</v>
      </c>
      <c r="U100" s="20" t="e">
        <f>VLOOKUP(P100,[2]Assessment!$A$4:$BO$101,19,FALSE)</f>
        <v>#N/A</v>
      </c>
      <c r="V100" s="29" t="s">
        <v>1154</v>
      </c>
      <c r="W100" s="21" t="s">
        <v>972</v>
      </c>
      <c r="X100" s="22" t="s">
        <v>1155</v>
      </c>
      <c r="Y100" s="22" t="s">
        <v>1156</v>
      </c>
      <c r="Z100" s="22" t="s">
        <v>963</v>
      </c>
      <c r="AA100" s="22" t="s">
        <v>1157</v>
      </c>
      <c r="AB100" s="22" t="s">
        <v>1095</v>
      </c>
      <c r="AC100" s="10">
        <v>2</v>
      </c>
      <c r="AD100" s="6">
        <f t="shared" si="14"/>
        <v>4</v>
      </c>
      <c r="AE100" s="10">
        <v>2</v>
      </c>
      <c r="AF100" s="10">
        <v>3</v>
      </c>
      <c r="AG100" s="10">
        <v>3</v>
      </c>
      <c r="AH100" s="10">
        <v>4</v>
      </c>
      <c r="AI100" s="10">
        <v>3</v>
      </c>
      <c r="AJ100" s="10">
        <v>3</v>
      </c>
      <c r="AK100" s="10">
        <v>3</v>
      </c>
      <c r="AL100" s="10">
        <v>2</v>
      </c>
      <c r="AM100" s="10">
        <v>2</v>
      </c>
      <c r="AN100" s="10">
        <v>4</v>
      </c>
      <c r="AO100" s="7">
        <f>IFERROR(IF(COUNT(AC100:AN100)=12,(AC100*'[1]Parameter Weights'!$F$7+AD100*'[1]Parameter Weights'!$F$9+AE100*'[1]Parameter Weights'!$F$10+AF100*'[1]Parameter Weights'!$F$11+AG100*'[1]Parameter Weights'!$F$12+AH100*'[1]Parameter Weights'!$F$13+AI100*'[1]Parameter Weights'!$F$14+AJ100*'[1]Parameter Weights'!$F$16+AK100*'[1]Parameter Weights'!$F$17+AL100*'[1]Parameter Weights'!$F$18+AM100*'[1]Parameter Weights'!$F$19+AN100*'[1]Parameter Weights'!$F$20)*20,IF(COUNT(AC100:AN100)=0,"","Incomplete")),"Check inputs")</f>
        <v>61</v>
      </c>
      <c r="AP100" s="8" t="s">
        <v>2</v>
      </c>
      <c r="AQ100" s="9" t="str">
        <f t="shared" si="12"/>
        <v>No</v>
      </c>
      <c r="AR100" s="9" t="s">
        <v>2</v>
      </c>
      <c r="AS100" s="9" t="str">
        <f t="shared" si="11"/>
        <v>Tier 2</v>
      </c>
      <c r="AT100" s="27" t="str">
        <f t="shared" si="13"/>
        <v>Engineering intervention, validate economics at base oil price</v>
      </c>
      <c r="AU100" s="28" t="s">
        <v>1158</v>
      </c>
    </row>
    <row r="101" spans="1:47" ht="50.1" customHeight="1" thickBot="1">
      <c r="A101" s="21">
        <v>93</v>
      </c>
      <c r="B101" s="21" t="s">
        <v>1159</v>
      </c>
      <c r="C101" s="20" t="s">
        <v>59</v>
      </c>
      <c r="D101" s="20" t="s">
        <v>76</v>
      </c>
      <c r="E101" s="20" t="s">
        <v>76</v>
      </c>
      <c r="F101" s="21" t="s">
        <v>1160</v>
      </c>
      <c r="G101" s="21" t="s">
        <v>1161</v>
      </c>
      <c r="H101" s="41" t="s">
        <v>1162</v>
      </c>
      <c r="I101" s="23">
        <v>434.93152029999999</v>
      </c>
      <c r="J101" s="20">
        <v>0</v>
      </c>
      <c r="K101" s="23">
        <f t="shared" si="15"/>
        <v>434.93152029999999</v>
      </c>
      <c r="L101" s="20"/>
      <c r="M101" s="20"/>
      <c r="N101" s="20" t="s">
        <v>63</v>
      </c>
      <c r="O101" s="1" t="s">
        <v>64</v>
      </c>
      <c r="P101" s="70" t="s">
        <v>76</v>
      </c>
      <c r="Q101" s="24" t="s">
        <v>76</v>
      </c>
      <c r="R101" s="24">
        <v>0</v>
      </c>
      <c r="S101" s="24" t="s">
        <v>807</v>
      </c>
      <c r="T101" s="20" t="e">
        <f>VLOOKUP(N101,[2]Assessment!$A$4:$BO$101,19,FALSE)</f>
        <v>#N/A</v>
      </c>
      <c r="U101" s="20" t="e">
        <f>VLOOKUP(P101,[2]Assessment!$A$4:$BO$101,19,FALSE)</f>
        <v>#N/A</v>
      </c>
      <c r="V101" s="29" t="s">
        <v>1163</v>
      </c>
      <c r="W101" s="21" t="s">
        <v>972</v>
      </c>
      <c r="X101" s="22" t="s">
        <v>1164</v>
      </c>
      <c r="Y101" s="22" t="s">
        <v>1165</v>
      </c>
      <c r="Z101" s="22" t="s">
        <v>963</v>
      </c>
      <c r="AA101" s="22" t="s">
        <v>1166</v>
      </c>
      <c r="AB101" s="22" t="s">
        <v>1167</v>
      </c>
      <c r="AC101" s="10">
        <v>2</v>
      </c>
      <c r="AD101" s="6">
        <f t="shared" si="14"/>
        <v>4</v>
      </c>
      <c r="AE101" s="10">
        <v>3</v>
      </c>
      <c r="AF101" s="10">
        <v>2</v>
      </c>
      <c r="AG101" s="10">
        <v>3</v>
      </c>
      <c r="AH101" s="10">
        <v>4</v>
      </c>
      <c r="AI101" s="10">
        <v>3</v>
      </c>
      <c r="AJ101" s="10">
        <v>3</v>
      </c>
      <c r="AK101" s="10">
        <v>2</v>
      </c>
      <c r="AL101" s="10">
        <v>1</v>
      </c>
      <c r="AM101" s="10">
        <v>2</v>
      </c>
      <c r="AN101" s="10">
        <v>3</v>
      </c>
      <c r="AO101" s="7">
        <f>IFERROR(IF(COUNT(AC101:AN101)=12,(AC101*'[1]Parameter Weights'!$F$7+AD101*'[1]Parameter Weights'!$F$9+AE101*'[1]Parameter Weights'!$F$10+AF101*'[1]Parameter Weights'!$F$11+AG101*'[1]Parameter Weights'!$F$12+AH101*'[1]Parameter Weights'!$F$13+AI101*'[1]Parameter Weights'!$F$14+AJ101*'[1]Parameter Weights'!$F$16+AK101*'[1]Parameter Weights'!$F$17+AL101*'[1]Parameter Weights'!$F$18+AM101*'[1]Parameter Weights'!$F$19+AN101*'[1]Parameter Weights'!$F$20)*20,IF(COUNT(AC101:AN101)=0,"","Incomplete")),"Check inputs")</f>
        <v>56.999999999999993</v>
      </c>
      <c r="AP101" s="8" t="s">
        <v>2</v>
      </c>
      <c r="AQ101" s="9" t="str">
        <f t="shared" si="12"/>
        <v>No</v>
      </c>
      <c r="AR101" s="9" t="s">
        <v>2</v>
      </c>
      <c r="AS101" s="9" t="str">
        <f t="shared" si="11"/>
        <v>Tier 2</v>
      </c>
      <c r="AT101" s="27" t="str">
        <f t="shared" si="13"/>
        <v>Engineering intervention, validate economics at base oil price</v>
      </c>
      <c r="AU101" s="28" t="s">
        <v>1168</v>
      </c>
    </row>
    <row r="102" spans="1:47" ht="50.1" customHeight="1" thickBot="1">
      <c r="A102" s="21">
        <v>94</v>
      </c>
      <c r="B102" s="21" t="s">
        <v>1169</v>
      </c>
      <c r="C102" s="20" t="s">
        <v>59</v>
      </c>
      <c r="D102" s="20" t="s">
        <v>76</v>
      </c>
      <c r="E102" s="20" t="s">
        <v>76</v>
      </c>
      <c r="F102" s="21" t="s">
        <v>1170</v>
      </c>
      <c r="G102" s="21" t="s">
        <v>1171</v>
      </c>
      <c r="H102" s="41" t="s">
        <v>1172</v>
      </c>
      <c r="I102" s="23">
        <v>224.48078469999999</v>
      </c>
      <c r="J102" s="20">
        <v>0</v>
      </c>
      <c r="K102" s="23">
        <f t="shared" si="15"/>
        <v>224.48078469999999</v>
      </c>
      <c r="L102" s="20"/>
      <c r="M102" s="20"/>
      <c r="N102" s="20" t="s">
        <v>63</v>
      </c>
      <c r="O102" s="1" t="s">
        <v>64</v>
      </c>
      <c r="P102" s="70">
        <v>43497</v>
      </c>
      <c r="Q102" s="24">
        <f>2026-YEAR(P102)</f>
        <v>7</v>
      </c>
      <c r="R102" s="24">
        <v>0</v>
      </c>
      <c r="S102" s="24" t="s">
        <v>807</v>
      </c>
      <c r="T102" s="20" t="e">
        <f>VLOOKUP(N102,[2]Assessment!$A$4:$BO$101,19,FALSE)</f>
        <v>#N/A</v>
      </c>
      <c r="U102" s="20" t="e">
        <f>VLOOKUP(P102,[2]Assessment!$A$4:$BO$101,19,FALSE)</f>
        <v>#N/A</v>
      </c>
      <c r="V102" s="22" t="s">
        <v>1173</v>
      </c>
      <c r="W102" s="21" t="s">
        <v>1174</v>
      </c>
      <c r="X102" s="22" t="s">
        <v>1175</v>
      </c>
      <c r="Y102" s="22" t="s">
        <v>1176</v>
      </c>
      <c r="Z102" s="22" t="s">
        <v>1177</v>
      </c>
      <c r="AA102" s="22" t="s">
        <v>1178</v>
      </c>
      <c r="AB102" s="22" t="s">
        <v>1179</v>
      </c>
      <c r="AC102" s="10">
        <v>2</v>
      </c>
      <c r="AD102" s="6">
        <f t="shared" si="14"/>
        <v>3</v>
      </c>
      <c r="AE102" s="10">
        <v>2</v>
      </c>
      <c r="AF102" s="10">
        <v>3</v>
      </c>
      <c r="AG102" s="10">
        <v>3</v>
      </c>
      <c r="AH102" s="10">
        <v>5</v>
      </c>
      <c r="AI102" s="10">
        <v>3</v>
      </c>
      <c r="AJ102" s="10">
        <v>4</v>
      </c>
      <c r="AK102" s="10">
        <v>2</v>
      </c>
      <c r="AL102" s="10">
        <v>3</v>
      </c>
      <c r="AM102" s="10">
        <v>4</v>
      </c>
      <c r="AN102" s="10">
        <v>3</v>
      </c>
      <c r="AO102" s="7">
        <f>IFERROR(IF(COUNT(AC102:AN102)=12,(AC102*'[1]Parameter Weights'!$F$7+AD102*'[1]Parameter Weights'!$F$9+AE102*'[1]Parameter Weights'!$F$10+AF102*'[1]Parameter Weights'!$F$11+AG102*'[1]Parameter Weights'!$F$12+AH102*'[1]Parameter Weights'!$F$13+AI102*'[1]Parameter Weights'!$F$14+AJ102*'[1]Parameter Weights'!$F$16+AK102*'[1]Parameter Weights'!$F$17+AL102*'[1]Parameter Weights'!$F$18+AM102*'[1]Parameter Weights'!$F$19+AN102*'[1]Parameter Weights'!$F$20)*20,IF(COUNT(AC102:AN102)=0,"","Incomplete")),"Check inputs")</f>
        <v>62</v>
      </c>
      <c r="AP102" s="8" t="s">
        <v>2</v>
      </c>
      <c r="AQ102" s="9" t="str">
        <f t="shared" si="12"/>
        <v>No</v>
      </c>
      <c r="AR102" s="9" t="s">
        <v>2</v>
      </c>
      <c r="AS102" s="9" t="str">
        <f t="shared" si="11"/>
        <v>Tier 2</v>
      </c>
      <c r="AT102" s="27" t="str">
        <f t="shared" si="13"/>
        <v>Engineering intervention, validate economics at base oil price</v>
      </c>
      <c r="AU102" s="28" t="s">
        <v>1180</v>
      </c>
    </row>
    <row r="103" spans="1:47" ht="50.1" customHeight="1" thickBot="1">
      <c r="A103" s="21">
        <v>95</v>
      </c>
      <c r="B103" s="21" t="s">
        <v>1181</v>
      </c>
      <c r="C103" s="20" t="s">
        <v>59</v>
      </c>
      <c r="D103" s="20" t="s">
        <v>76</v>
      </c>
      <c r="E103" s="20" t="s">
        <v>1182</v>
      </c>
      <c r="F103" s="21" t="s">
        <v>1183</v>
      </c>
      <c r="G103" s="21" t="s">
        <v>842</v>
      </c>
      <c r="H103" s="41" t="s">
        <v>1184</v>
      </c>
      <c r="I103" s="23">
        <v>715.53250109999999</v>
      </c>
      <c r="J103" s="20">
        <v>0</v>
      </c>
      <c r="K103" s="23">
        <f t="shared" si="15"/>
        <v>715.53250109999999</v>
      </c>
      <c r="L103" s="20"/>
      <c r="M103" s="20"/>
      <c r="N103" s="20" t="s">
        <v>63</v>
      </c>
      <c r="O103" s="1" t="s">
        <v>64</v>
      </c>
      <c r="P103" s="70" t="s">
        <v>76</v>
      </c>
      <c r="Q103" s="24" t="s">
        <v>76</v>
      </c>
      <c r="R103" s="24">
        <v>0</v>
      </c>
      <c r="S103" s="24" t="s">
        <v>807</v>
      </c>
      <c r="T103" s="20" t="e">
        <f>VLOOKUP(N103,[2]Assessment!$A$4:$BO$101,19,FALSE)</f>
        <v>#N/A</v>
      </c>
      <c r="U103" s="20" t="e">
        <f>VLOOKUP(P103,[2]Assessment!$A$4:$BO$101,19,FALSE)</f>
        <v>#N/A</v>
      </c>
      <c r="V103" s="22" t="s">
        <v>1185</v>
      </c>
      <c r="W103" s="21" t="s">
        <v>1186</v>
      </c>
      <c r="X103" s="22" t="s">
        <v>1187</v>
      </c>
      <c r="Y103" s="22" t="s">
        <v>1188</v>
      </c>
      <c r="Z103" s="22" t="s">
        <v>1189</v>
      </c>
      <c r="AA103" s="22" t="s">
        <v>1190</v>
      </c>
      <c r="AB103" s="22" t="s">
        <v>1191</v>
      </c>
      <c r="AC103" s="10">
        <v>1</v>
      </c>
      <c r="AD103" s="6">
        <f t="shared" si="14"/>
        <v>5</v>
      </c>
      <c r="AE103" s="10">
        <v>3</v>
      </c>
      <c r="AF103" s="10">
        <v>3</v>
      </c>
      <c r="AG103" s="10">
        <v>3</v>
      </c>
      <c r="AH103" s="10">
        <v>4</v>
      </c>
      <c r="AI103" s="10">
        <v>3</v>
      </c>
      <c r="AJ103" s="10">
        <v>3</v>
      </c>
      <c r="AK103" s="10">
        <v>3</v>
      </c>
      <c r="AL103" s="10">
        <v>2</v>
      </c>
      <c r="AM103" s="10">
        <v>2</v>
      </c>
      <c r="AN103" s="10">
        <v>3</v>
      </c>
      <c r="AO103" s="7">
        <f>IFERROR(IF(COUNT(AC103:AN103)=12,(AC103*'[1]Parameter Weights'!$F$7+AD103*'[1]Parameter Weights'!$F$9+AE103*'[1]Parameter Weights'!$F$10+AF103*'[1]Parameter Weights'!$F$11+AG103*'[1]Parameter Weights'!$F$12+AH103*'[1]Parameter Weights'!$F$13+AI103*'[1]Parameter Weights'!$F$14+AJ103*'[1]Parameter Weights'!$F$16+AK103*'[1]Parameter Weights'!$F$17+AL103*'[1]Parameter Weights'!$F$18+AM103*'[1]Parameter Weights'!$F$19+AN103*'[1]Parameter Weights'!$F$20)*20,IF(COUNT(AC103:AN103)=0,"","Incomplete")),"Check inputs")</f>
        <v>62</v>
      </c>
      <c r="AP103" s="8" t="s">
        <v>2</v>
      </c>
      <c r="AQ103" s="9" t="str">
        <f t="shared" si="12"/>
        <v>No</v>
      </c>
      <c r="AR103" s="9" t="s">
        <v>2</v>
      </c>
      <c r="AS103" s="9" t="str">
        <f t="shared" si="11"/>
        <v>Tier 2</v>
      </c>
      <c r="AT103" s="27" t="str">
        <f t="shared" si="13"/>
        <v>Engineering intervention, validate economics at base oil price</v>
      </c>
      <c r="AU103" s="28" t="s">
        <v>1192</v>
      </c>
    </row>
    <row r="104" spans="1:47" ht="50.1" customHeight="1" thickBot="1">
      <c r="A104" s="21">
        <v>96</v>
      </c>
      <c r="B104" s="21" t="s">
        <v>1193</v>
      </c>
      <c r="C104" s="20" t="s">
        <v>59</v>
      </c>
      <c r="D104" s="20" t="s">
        <v>76</v>
      </c>
      <c r="E104" s="20" t="s">
        <v>76</v>
      </c>
      <c r="F104" s="21" t="s">
        <v>1194</v>
      </c>
      <c r="G104" s="21" t="s">
        <v>1195</v>
      </c>
      <c r="H104" s="41" t="s">
        <v>1196</v>
      </c>
      <c r="I104" s="23">
        <v>477.02166740000001</v>
      </c>
      <c r="J104" s="20">
        <v>0</v>
      </c>
      <c r="K104" s="23">
        <f t="shared" si="15"/>
        <v>477.02166740000001</v>
      </c>
      <c r="L104" s="20"/>
      <c r="M104" s="20"/>
      <c r="N104" s="20" t="s">
        <v>63</v>
      </c>
      <c r="O104" s="1" t="s">
        <v>64</v>
      </c>
      <c r="P104" s="70">
        <v>36808</v>
      </c>
      <c r="Q104" s="24">
        <f>2026-YEAR(P104)</f>
        <v>26</v>
      </c>
      <c r="R104" s="24">
        <v>0</v>
      </c>
      <c r="S104" s="24" t="s">
        <v>807</v>
      </c>
      <c r="T104" s="20" t="e">
        <f>VLOOKUP(N104,[2]Assessment!$A$4:$BO$101,19,FALSE)</f>
        <v>#N/A</v>
      </c>
      <c r="U104" s="20" t="e">
        <f>VLOOKUP(P104,[2]Assessment!$A$4:$BO$101,19,FALSE)</f>
        <v>#N/A</v>
      </c>
      <c r="V104" s="22" t="s">
        <v>1197</v>
      </c>
      <c r="W104" s="21" t="s">
        <v>1198</v>
      </c>
      <c r="X104" s="22" t="s">
        <v>1199</v>
      </c>
      <c r="Y104" s="22" t="s">
        <v>1200</v>
      </c>
      <c r="Z104" s="22" t="s">
        <v>1201</v>
      </c>
      <c r="AA104" s="22" t="s">
        <v>1202</v>
      </c>
      <c r="AB104" s="22" t="s">
        <v>1203</v>
      </c>
      <c r="AC104" s="10">
        <v>3</v>
      </c>
      <c r="AD104" s="6">
        <f t="shared" si="14"/>
        <v>4</v>
      </c>
      <c r="AE104" s="10">
        <v>3</v>
      </c>
      <c r="AF104" s="10">
        <v>3</v>
      </c>
      <c r="AG104" s="10">
        <v>3</v>
      </c>
      <c r="AH104" s="10">
        <v>5</v>
      </c>
      <c r="AI104" s="10">
        <v>3</v>
      </c>
      <c r="AJ104" s="10">
        <v>4</v>
      </c>
      <c r="AK104" s="10">
        <v>3</v>
      </c>
      <c r="AL104" s="10">
        <v>2</v>
      </c>
      <c r="AM104" s="10">
        <v>2</v>
      </c>
      <c r="AN104" s="10">
        <v>4</v>
      </c>
      <c r="AO104" s="7">
        <f>IFERROR(IF(COUNT(AC104:AN104)=12,(AC104*'[1]Parameter Weights'!$F$7+AD104*'[1]Parameter Weights'!$F$9+AE104*'[1]Parameter Weights'!$F$10+AF104*'[1]Parameter Weights'!$F$11+AG104*'[1]Parameter Weights'!$F$12+AH104*'[1]Parameter Weights'!$F$13+AI104*'[1]Parameter Weights'!$F$14+AJ104*'[1]Parameter Weights'!$F$16+AK104*'[1]Parameter Weights'!$F$17+AL104*'[1]Parameter Weights'!$F$18+AM104*'[1]Parameter Weights'!$F$19+AN104*'[1]Parameter Weights'!$F$20)*20,IF(COUNT(AC104:AN104)=0,"","Incomplete")),"Check inputs")</f>
        <v>68</v>
      </c>
      <c r="AP104" s="8" t="s">
        <v>2</v>
      </c>
      <c r="AQ104" s="9" t="str">
        <f t="shared" si="12"/>
        <v>No</v>
      </c>
      <c r="AR104" s="9" t="s">
        <v>2</v>
      </c>
      <c r="AS104" s="9" t="str">
        <f t="shared" si="11"/>
        <v>Tier 2</v>
      </c>
      <c r="AT104" s="27" t="str">
        <f t="shared" si="13"/>
        <v>Engineering intervention, validate economics at base oil price</v>
      </c>
      <c r="AU104" s="28" t="s">
        <v>1204</v>
      </c>
    </row>
    <row r="105" spans="1:47" ht="50.1" customHeight="1" thickBot="1">
      <c r="A105" s="21">
        <v>97</v>
      </c>
      <c r="B105" s="21" t="s">
        <v>1205</v>
      </c>
      <c r="C105" s="20" t="s">
        <v>59</v>
      </c>
      <c r="D105" s="20">
        <v>738319.69</v>
      </c>
      <c r="E105" s="20">
        <v>132057.06</v>
      </c>
      <c r="F105" s="21" t="s">
        <v>1206</v>
      </c>
      <c r="G105" s="21" t="s">
        <v>1207</v>
      </c>
      <c r="H105" s="41" t="s">
        <v>1208</v>
      </c>
      <c r="I105" s="23">
        <v>1066.283727</v>
      </c>
      <c r="J105" s="20">
        <v>0</v>
      </c>
      <c r="K105" s="23">
        <f t="shared" si="15"/>
        <v>1066.283727</v>
      </c>
      <c r="L105" s="20"/>
      <c r="M105" s="20"/>
      <c r="N105" s="20" t="s">
        <v>63</v>
      </c>
      <c r="O105" s="1" t="s">
        <v>64</v>
      </c>
      <c r="P105" s="70" t="s">
        <v>76</v>
      </c>
      <c r="Q105" s="24" t="s">
        <v>76</v>
      </c>
      <c r="R105" s="24">
        <v>0</v>
      </c>
      <c r="S105" s="24" t="s">
        <v>807</v>
      </c>
      <c r="T105" s="20" t="e">
        <f>VLOOKUP(N105,[2]Assessment!$A$4:$BO$101,19,FALSE)</f>
        <v>#N/A</v>
      </c>
      <c r="U105" s="20" t="e">
        <f>VLOOKUP(P105,[2]Assessment!$A$4:$BO$101,19,FALSE)</f>
        <v>#N/A</v>
      </c>
      <c r="V105" s="29" t="s">
        <v>1209</v>
      </c>
      <c r="W105" s="21" t="s">
        <v>972</v>
      </c>
      <c r="X105" s="22" t="s">
        <v>1210</v>
      </c>
      <c r="Y105" s="22" t="s">
        <v>1211</v>
      </c>
      <c r="Z105" s="22" t="s">
        <v>963</v>
      </c>
      <c r="AA105" s="22" t="s">
        <v>1212</v>
      </c>
      <c r="AB105" s="22" t="s">
        <v>1095</v>
      </c>
      <c r="AC105" s="10">
        <v>3</v>
      </c>
      <c r="AD105" s="6">
        <f t="shared" si="14"/>
        <v>5</v>
      </c>
      <c r="AE105" s="10">
        <v>3</v>
      </c>
      <c r="AF105" s="10">
        <v>3</v>
      </c>
      <c r="AG105" s="10">
        <v>3</v>
      </c>
      <c r="AH105" s="10">
        <v>5</v>
      </c>
      <c r="AI105" s="10">
        <v>3</v>
      </c>
      <c r="AJ105" s="10">
        <v>4</v>
      </c>
      <c r="AK105" s="10">
        <v>3</v>
      </c>
      <c r="AL105" s="10">
        <v>2</v>
      </c>
      <c r="AM105" s="10">
        <v>3</v>
      </c>
      <c r="AN105" s="10">
        <v>3</v>
      </c>
      <c r="AO105" s="7">
        <f>IFERROR(IF(COUNT(AC105:AN105)=12,(AC105*'[1]Parameter Weights'!$F$7+AD105*'[1]Parameter Weights'!$F$9+AE105*'[1]Parameter Weights'!$F$10+AF105*'[1]Parameter Weights'!$F$11+AG105*'[1]Parameter Weights'!$F$12+AH105*'[1]Parameter Weights'!$F$13+AI105*'[1]Parameter Weights'!$F$14+AJ105*'[1]Parameter Weights'!$F$16+AK105*'[1]Parameter Weights'!$F$17+AL105*'[1]Parameter Weights'!$F$18+AM105*'[1]Parameter Weights'!$F$19+AN105*'[1]Parameter Weights'!$F$20)*20,IF(COUNT(AC105:AN105)=0,"","Incomplete")),"Check inputs")</f>
        <v>70.999999999999986</v>
      </c>
      <c r="AP105" s="8" t="s">
        <v>2</v>
      </c>
      <c r="AQ105" s="9" t="str">
        <f t="shared" si="12"/>
        <v>No</v>
      </c>
      <c r="AR105" s="9" t="s">
        <v>2</v>
      </c>
      <c r="AS105" s="9" t="str">
        <f t="shared" si="11"/>
        <v>Tier 2</v>
      </c>
      <c r="AT105" s="27" t="str">
        <f t="shared" si="13"/>
        <v>Engineering intervention, validate economics at base oil price</v>
      </c>
      <c r="AU105" s="28" t="s">
        <v>1213</v>
      </c>
    </row>
    <row r="106" spans="1:47" ht="50.1" customHeight="1" thickBot="1">
      <c r="A106" s="21">
        <v>98</v>
      </c>
      <c r="B106" s="21" t="s">
        <v>1214</v>
      </c>
      <c r="C106" s="20" t="s">
        <v>59</v>
      </c>
      <c r="D106" s="20" t="s">
        <v>76</v>
      </c>
      <c r="E106" s="20" t="s">
        <v>76</v>
      </c>
      <c r="F106" s="21" t="s">
        <v>1215</v>
      </c>
      <c r="G106" s="21" t="s">
        <v>1216</v>
      </c>
      <c r="H106" s="41" t="s">
        <v>1217</v>
      </c>
      <c r="I106" s="23">
        <v>687.47240299999999</v>
      </c>
      <c r="J106" s="20">
        <v>0</v>
      </c>
      <c r="K106" s="23">
        <f t="shared" si="15"/>
        <v>687.47240299999999</v>
      </c>
      <c r="L106" s="20"/>
      <c r="M106" s="20"/>
      <c r="N106" s="20" t="s">
        <v>63</v>
      </c>
      <c r="O106" s="1" t="s">
        <v>64</v>
      </c>
      <c r="P106" s="70" t="s">
        <v>76</v>
      </c>
      <c r="Q106" s="24" t="s">
        <v>76</v>
      </c>
      <c r="R106" s="24">
        <v>0</v>
      </c>
      <c r="S106" s="24" t="s">
        <v>807</v>
      </c>
      <c r="T106" s="20" t="e">
        <f>VLOOKUP(N106,[2]Assessment!$A$4:$BO$101,19,FALSE)</f>
        <v>#N/A</v>
      </c>
      <c r="U106" s="20" t="e">
        <f>VLOOKUP(P106,[2]Assessment!$A$4:$BO$101,19,FALSE)</f>
        <v>#N/A</v>
      </c>
      <c r="V106" s="22" t="s">
        <v>1218</v>
      </c>
      <c r="W106" s="21" t="s">
        <v>1219</v>
      </c>
      <c r="X106" s="22" t="s">
        <v>1220</v>
      </c>
      <c r="Y106" s="22" t="s">
        <v>1221</v>
      </c>
      <c r="Z106" s="22" t="s">
        <v>1222</v>
      </c>
      <c r="AA106" s="22" t="s">
        <v>1223</v>
      </c>
      <c r="AB106" s="22" t="s">
        <v>1224</v>
      </c>
      <c r="AC106" s="10">
        <v>2</v>
      </c>
      <c r="AD106" s="6">
        <f t="shared" si="14"/>
        <v>5</v>
      </c>
      <c r="AE106" s="10">
        <v>2</v>
      </c>
      <c r="AF106" s="10">
        <v>2</v>
      </c>
      <c r="AG106" s="10">
        <v>3</v>
      </c>
      <c r="AH106" s="10">
        <v>5</v>
      </c>
      <c r="AI106" s="10">
        <v>3</v>
      </c>
      <c r="AJ106" s="10">
        <v>4</v>
      </c>
      <c r="AK106" s="10">
        <v>2</v>
      </c>
      <c r="AL106" s="10">
        <v>3</v>
      </c>
      <c r="AM106" s="10">
        <v>2</v>
      </c>
      <c r="AN106" s="10">
        <v>2</v>
      </c>
      <c r="AO106" s="7">
        <f>IFERROR(IF(COUNT(AC106:AN106)=12,(AC106*'[1]Parameter Weights'!$F$7+AD106*'[1]Parameter Weights'!$F$9+AE106*'[1]Parameter Weights'!$F$10+AF106*'[1]Parameter Weights'!$F$11+AG106*'[1]Parameter Weights'!$F$12+AH106*'[1]Parameter Weights'!$F$13+AI106*'[1]Parameter Weights'!$F$14+AJ106*'[1]Parameter Weights'!$F$16+AK106*'[1]Parameter Weights'!$F$17+AL106*'[1]Parameter Weights'!$F$18+AM106*'[1]Parameter Weights'!$F$19+AN106*'[1]Parameter Weights'!$F$20)*20,IF(COUNT(AC106:AN106)=0,"","Incomplete")),"Check inputs")</f>
        <v>64</v>
      </c>
      <c r="AP106" s="8" t="s">
        <v>2</v>
      </c>
      <c r="AQ106" s="9" t="str">
        <f t="shared" si="12"/>
        <v>No</v>
      </c>
      <c r="AR106" s="9" t="s">
        <v>2</v>
      </c>
      <c r="AS106" s="9" t="str">
        <f t="shared" si="11"/>
        <v>Tier 2</v>
      </c>
      <c r="AT106" s="27" t="str">
        <f t="shared" si="13"/>
        <v>Engineering intervention, validate economics at base oil price</v>
      </c>
      <c r="AU106" s="28" t="s">
        <v>1225</v>
      </c>
    </row>
    <row r="107" spans="1:47" ht="50.1" customHeight="1" thickBot="1">
      <c r="A107" s="21">
        <v>99</v>
      </c>
      <c r="B107" s="21" t="s">
        <v>1226</v>
      </c>
      <c r="C107" s="20" t="s">
        <v>59</v>
      </c>
      <c r="D107" s="20">
        <v>747427.42</v>
      </c>
      <c r="E107" s="20">
        <v>143432.38</v>
      </c>
      <c r="F107" s="21" t="s">
        <v>1227</v>
      </c>
      <c r="G107" s="21" t="s">
        <v>1228</v>
      </c>
      <c r="H107" s="41" t="s">
        <v>1229</v>
      </c>
      <c r="I107" s="23">
        <v>281.87381629999999</v>
      </c>
      <c r="J107" s="20">
        <v>0</v>
      </c>
      <c r="K107" s="23">
        <f t="shared" si="15"/>
        <v>281.87381629999999</v>
      </c>
      <c r="L107" s="20"/>
      <c r="M107" s="20"/>
      <c r="N107" s="20" t="s">
        <v>63</v>
      </c>
      <c r="O107" s="1" t="s">
        <v>64</v>
      </c>
      <c r="P107" s="70" t="s">
        <v>76</v>
      </c>
      <c r="Q107" s="24" t="s">
        <v>76</v>
      </c>
      <c r="R107" s="24">
        <v>0</v>
      </c>
      <c r="S107" s="24" t="s">
        <v>807</v>
      </c>
      <c r="T107" s="20" t="e">
        <f>VLOOKUP(N107,[2]Assessment!$A$4:$BO$101,19,FALSE)</f>
        <v>#N/A</v>
      </c>
      <c r="U107" s="20" t="e">
        <f>VLOOKUP(P107,[2]Assessment!$A$4:$BO$101,19,FALSE)</f>
        <v>#N/A</v>
      </c>
      <c r="V107" s="22" t="s">
        <v>1230</v>
      </c>
      <c r="W107" s="21" t="s">
        <v>1231</v>
      </c>
      <c r="X107" s="22" t="s">
        <v>1232</v>
      </c>
      <c r="Y107" s="22" t="s">
        <v>1233</v>
      </c>
      <c r="Z107" s="22" t="s">
        <v>1234</v>
      </c>
      <c r="AA107" s="22" t="s">
        <v>1235</v>
      </c>
      <c r="AB107" s="22" t="s">
        <v>1236</v>
      </c>
      <c r="AC107" s="10">
        <v>2</v>
      </c>
      <c r="AD107" s="6">
        <f t="shared" si="14"/>
        <v>3</v>
      </c>
      <c r="AE107" s="10">
        <v>3</v>
      </c>
      <c r="AF107" s="10">
        <v>2</v>
      </c>
      <c r="AG107" s="10">
        <v>3</v>
      </c>
      <c r="AH107" s="10">
        <v>5</v>
      </c>
      <c r="AI107" s="10">
        <v>3</v>
      </c>
      <c r="AJ107" s="10">
        <v>3</v>
      </c>
      <c r="AK107" s="10">
        <v>3</v>
      </c>
      <c r="AL107" s="10">
        <v>2</v>
      </c>
      <c r="AM107" s="10">
        <v>2</v>
      </c>
      <c r="AN107" s="10">
        <v>3</v>
      </c>
      <c r="AO107" s="7">
        <f>IFERROR(IF(COUNT(AC107:AN107)=12,(AC107*'[1]Parameter Weights'!$F$7+AD107*'[1]Parameter Weights'!$F$9+AE107*'[1]Parameter Weights'!$F$10+AF107*'[1]Parameter Weights'!$F$11+AG107*'[1]Parameter Weights'!$F$12+AH107*'[1]Parameter Weights'!$F$13+AI107*'[1]Parameter Weights'!$F$14+AJ107*'[1]Parameter Weights'!$F$16+AK107*'[1]Parameter Weights'!$F$17+AL107*'[1]Parameter Weights'!$F$18+AM107*'[1]Parameter Weights'!$F$19+AN107*'[1]Parameter Weights'!$F$20)*20,IF(COUNT(AC107:AN107)=0,"","Incomplete")),"Check inputs")</f>
        <v>58.999999999999993</v>
      </c>
      <c r="AP107" s="8" t="s">
        <v>2</v>
      </c>
      <c r="AQ107" s="9" t="str">
        <f t="shared" si="12"/>
        <v>No</v>
      </c>
      <c r="AR107" s="9" t="s">
        <v>2</v>
      </c>
      <c r="AS107" s="9" t="str">
        <f t="shared" si="11"/>
        <v>Tier 2</v>
      </c>
      <c r="AT107" s="27" t="str">
        <f t="shared" si="13"/>
        <v>Engineering intervention, validate economics at base oil price</v>
      </c>
      <c r="AU107" s="28" t="s">
        <v>1237</v>
      </c>
    </row>
    <row r="108" spans="1:47" ht="50.1" customHeight="1" thickBot="1">
      <c r="A108" s="21">
        <v>100</v>
      </c>
      <c r="B108" s="21" t="s">
        <v>1238</v>
      </c>
      <c r="C108" s="20" t="s">
        <v>59</v>
      </c>
      <c r="D108" s="20">
        <v>747854.7</v>
      </c>
      <c r="E108" s="20">
        <v>143432.79999999999</v>
      </c>
      <c r="F108" s="21" t="s">
        <v>1239</v>
      </c>
      <c r="G108" s="21" t="s">
        <v>1240</v>
      </c>
      <c r="H108" s="41" t="s">
        <v>1241</v>
      </c>
      <c r="I108" s="23">
        <v>172.80920879999999</v>
      </c>
      <c r="J108" s="20">
        <v>0</v>
      </c>
      <c r="K108" s="23">
        <f t="shared" si="15"/>
        <v>172.80920879999999</v>
      </c>
      <c r="L108" s="20"/>
      <c r="M108" s="20"/>
      <c r="N108" s="20" t="s">
        <v>63</v>
      </c>
      <c r="O108" s="1" t="s">
        <v>64</v>
      </c>
      <c r="P108" s="70">
        <v>39972</v>
      </c>
      <c r="Q108" s="24">
        <f>2026-YEAR(P108)</f>
        <v>17</v>
      </c>
      <c r="R108" s="24">
        <v>0</v>
      </c>
      <c r="S108" s="24" t="s">
        <v>807</v>
      </c>
      <c r="T108" s="20" t="e">
        <f>VLOOKUP(N108,[2]Assessment!$A$4:$BO$101,19,FALSE)</f>
        <v>#N/A</v>
      </c>
      <c r="U108" s="20" t="e">
        <f>VLOOKUP(P108,[2]Assessment!$A$4:$BO$101,19,FALSE)</f>
        <v>#N/A</v>
      </c>
      <c r="V108" s="22" t="s">
        <v>1242</v>
      </c>
      <c r="W108" s="21" t="s">
        <v>1243</v>
      </c>
      <c r="X108" s="22" t="s">
        <v>1244</v>
      </c>
      <c r="Y108" s="22" t="s">
        <v>1245</v>
      </c>
      <c r="Z108" s="22" t="s">
        <v>1246</v>
      </c>
      <c r="AA108" s="22" t="s">
        <v>1247</v>
      </c>
      <c r="AB108" s="22" t="s">
        <v>1248</v>
      </c>
      <c r="AC108" s="10">
        <v>2</v>
      </c>
      <c r="AD108" s="6">
        <f t="shared" si="14"/>
        <v>3</v>
      </c>
      <c r="AE108" s="10">
        <v>3</v>
      </c>
      <c r="AF108" s="10">
        <v>3</v>
      </c>
      <c r="AG108" s="10">
        <v>3</v>
      </c>
      <c r="AH108" s="10">
        <v>5</v>
      </c>
      <c r="AI108" s="10">
        <v>3</v>
      </c>
      <c r="AJ108" s="10">
        <v>4</v>
      </c>
      <c r="AK108" s="10">
        <v>3</v>
      </c>
      <c r="AL108" s="10">
        <v>2</v>
      </c>
      <c r="AM108" s="10">
        <v>2</v>
      </c>
      <c r="AN108" s="10">
        <v>3</v>
      </c>
      <c r="AO108" s="7">
        <f>IFERROR(IF(COUNT(AC108:AN108)=12,(AC108*'[1]Parameter Weights'!$F$7+AD108*'[1]Parameter Weights'!$F$9+AE108*'[1]Parameter Weights'!$F$10+AF108*'[1]Parameter Weights'!$F$11+AG108*'[1]Parameter Weights'!$F$12+AH108*'[1]Parameter Weights'!$F$13+AI108*'[1]Parameter Weights'!$F$14+AJ108*'[1]Parameter Weights'!$F$16+AK108*'[1]Parameter Weights'!$F$17+AL108*'[1]Parameter Weights'!$F$18+AM108*'[1]Parameter Weights'!$F$19+AN108*'[1]Parameter Weights'!$F$20)*20,IF(COUNT(AC108:AN108)=0,"","Incomplete")),"Check inputs")</f>
        <v>62</v>
      </c>
      <c r="AP108" s="8" t="s">
        <v>2</v>
      </c>
      <c r="AQ108" s="9" t="str">
        <f t="shared" si="12"/>
        <v>No</v>
      </c>
      <c r="AR108" s="9" t="s">
        <v>2</v>
      </c>
      <c r="AS108" s="9" t="str">
        <f t="shared" si="11"/>
        <v>Tier 2</v>
      </c>
      <c r="AT108" s="27" t="str">
        <f t="shared" si="13"/>
        <v>Engineering intervention, validate economics at base oil price</v>
      </c>
      <c r="AU108" s="28" t="s">
        <v>1249</v>
      </c>
    </row>
    <row r="109" spans="1:47" ht="50.1" customHeight="1" thickBot="1">
      <c r="A109" s="21">
        <v>101</v>
      </c>
      <c r="B109" s="21" t="s">
        <v>1250</v>
      </c>
      <c r="C109" s="20" t="s">
        <v>59</v>
      </c>
      <c r="D109" s="20">
        <v>747424</v>
      </c>
      <c r="E109" s="20">
        <v>143210.04</v>
      </c>
      <c r="F109" s="21" t="s">
        <v>1251</v>
      </c>
      <c r="G109" s="21" t="s">
        <v>1252</v>
      </c>
      <c r="H109" s="41" t="s">
        <v>1253</v>
      </c>
      <c r="I109" s="23">
        <v>349.16018170000001</v>
      </c>
      <c r="J109" s="20">
        <v>0</v>
      </c>
      <c r="K109" s="23">
        <f t="shared" si="15"/>
        <v>349.16018170000001</v>
      </c>
      <c r="L109" s="20"/>
      <c r="M109" s="20"/>
      <c r="N109" s="20" t="s">
        <v>63</v>
      </c>
      <c r="O109" s="24" t="s">
        <v>64</v>
      </c>
      <c r="P109" s="70" t="s">
        <v>76</v>
      </c>
      <c r="Q109" s="24" t="s">
        <v>76</v>
      </c>
      <c r="R109" s="24">
        <v>0</v>
      </c>
      <c r="S109" s="24" t="s">
        <v>807</v>
      </c>
      <c r="T109" s="20" t="e">
        <f>VLOOKUP(N109,[2]Assessment!$A$4:$BO$101,19,FALSE)</f>
        <v>#N/A</v>
      </c>
      <c r="U109" s="20" t="e">
        <f>VLOOKUP(P109,[2]Assessment!$A$4:$BO$101,19,FALSE)</f>
        <v>#N/A</v>
      </c>
      <c r="V109" s="22" t="s">
        <v>1254</v>
      </c>
      <c r="W109" s="21" t="s">
        <v>1255</v>
      </c>
      <c r="X109" s="22" t="s">
        <v>1256</v>
      </c>
      <c r="Y109" s="22" t="s">
        <v>1257</v>
      </c>
      <c r="Z109" s="22" t="s">
        <v>1258</v>
      </c>
      <c r="AA109" s="22" t="s">
        <v>1259</v>
      </c>
      <c r="AB109" s="22" t="s">
        <v>1260</v>
      </c>
      <c r="AC109" s="10">
        <v>3</v>
      </c>
      <c r="AD109" s="6">
        <f t="shared" si="14"/>
        <v>4</v>
      </c>
      <c r="AE109" s="10">
        <v>3</v>
      </c>
      <c r="AF109" s="10">
        <v>3</v>
      </c>
      <c r="AG109" s="10">
        <v>2</v>
      </c>
      <c r="AH109" s="10">
        <v>4</v>
      </c>
      <c r="AI109" s="10">
        <v>3</v>
      </c>
      <c r="AJ109" s="10">
        <v>3</v>
      </c>
      <c r="AK109" s="10">
        <v>3</v>
      </c>
      <c r="AL109" s="10">
        <v>2</v>
      </c>
      <c r="AM109" s="10">
        <v>3</v>
      </c>
      <c r="AN109" s="10">
        <v>3</v>
      </c>
      <c r="AO109" s="7">
        <f>IFERROR(IF(COUNT(AC109:AN109)=12,(AC109*'[1]Parameter Weights'!$F$7+AD109*'[1]Parameter Weights'!$F$9+AE109*'[1]Parameter Weights'!$F$10+AF109*'[1]Parameter Weights'!$F$11+AG109*'[1]Parameter Weights'!$F$12+AH109*'[1]Parameter Weights'!$F$13+AI109*'[1]Parameter Weights'!$F$14+AJ109*'[1]Parameter Weights'!$F$16+AK109*'[1]Parameter Weights'!$F$17+AL109*'[1]Parameter Weights'!$F$18+AM109*'[1]Parameter Weights'!$F$19+AN109*'[1]Parameter Weights'!$F$20)*20,IF(COUNT(AC109:AN109)=0,"","Incomplete")),"Check inputs")</f>
        <v>61.000000000000007</v>
      </c>
      <c r="AP109" s="8" t="s">
        <v>2</v>
      </c>
      <c r="AQ109" s="9" t="str">
        <f t="shared" si="12"/>
        <v>No</v>
      </c>
      <c r="AR109" s="9" t="s">
        <v>2</v>
      </c>
      <c r="AS109" s="9" t="str">
        <f t="shared" si="11"/>
        <v>Tier 2</v>
      </c>
      <c r="AT109" s="27" t="str">
        <f t="shared" si="13"/>
        <v>Engineering intervention, validate economics at base oil price</v>
      </c>
      <c r="AU109" s="28" t="s">
        <v>1261</v>
      </c>
    </row>
    <row r="110" spans="1:47" ht="15" customHeight="1">
      <c r="O110" s="42"/>
    </row>
    <row r="111" spans="1:47" ht="15" customHeight="1">
      <c r="O111" s="42"/>
      <c r="AC111" s="118">
        <f t="shared" ref="AC111:AO111" si="18">AVERAGE(AC9:AC67)</f>
        <v>1.9830508474576272</v>
      </c>
      <c r="AD111" s="118">
        <f t="shared" si="18"/>
        <v>3.2542372881355934</v>
      </c>
      <c r="AE111" s="118">
        <f t="shared" si="18"/>
        <v>2.4406779661016951</v>
      </c>
      <c r="AF111" s="118">
        <f t="shared" si="18"/>
        <v>1.4576271186440677</v>
      </c>
      <c r="AG111" s="118">
        <f t="shared" si="18"/>
        <v>2.7627118644067798</v>
      </c>
      <c r="AH111" s="118">
        <f t="shared" si="18"/>
        <v>3.3728813559322033</v>
      </c>
      <c r="AI111" s="118">
        <f t="shared" si="18"/>
        <v>3.0169491525423728</v>
      </c>
      <c r="AJ111" s="118">
        <f t="shared" si="18"/>
        <v>2.4915254237288136</v>
      </c>
      <c r="AK111" s="118">
        <f t="shared" si="18"/>
        <v>1.9661016949152543</v>
      </c>
      <c r="AL111" s="118">
        <f t="shared" si="18"/>
        <v>2.4745762711864407</v>
      </c>
      <c r="AM111" s="118">
        <f t="shared" si="18"/>
        <v>2.5084745762711864</v>
      </c>
      <c r="AN111" s="118">
        <f t="shared" si="18"/>
        <v>2.6610169491525424</v>
      </c>
      <c r="AO111" s="118">
        <f t="shared" si="18"/>
        <v>52.237288135593218</v>
      </c>
    </row>
    <row r="112" spans="1:47" ht="15" customHeight="1">
      <c r="O112" s="42"/>
    </row>
    <row r="113" spans="15:15" ht="15" customHeight="1">
      <c r="O113" s="42"/>
    </row>
    <row r="114" spans="15:15" ht="15" customHeight="1">
      <c r="O114" s="42"/>
    </row>
    <row r="115" spans="15:15" ht="15" customHeight="1">
      <c r="O115" s="42"/>
    </row>
    <row r="116" spans="15:15" ht="15" customHeight="1">
      <c r="O116" s="42"/>
    </row>
    <row r="117" spans="15:15" ht="15" customHeight="1">
      <c r="O117" s="42"/>
    </row>
    <row r="118" spans="15:15" ht="15" customHeight="1">
      <c r="O118" s="42"/>
    </row>
    <row r="119" spans="15:15" ht="15" customHeight="1">
      <c r="O119" s="42"/>
    </row>
    <row r="120" spans="15:15" ht="15" customHeight="1">
      <c r="O120" s="42"/>
    </row>
    <row r="121" spans="15:15" ht="15" customHeight="1">
      <c r="O121" s="42"/>
    </row>
    <row r="122" spans="15:15" ht="15" customHeight="1">
      <c r="O122" s="42"/>
    </row>
    <row r="123" spans="15:15" ht="15" customHeight="1">
      <c r="O123" s="42"/>
    </row>
    <row r="124" spans="15:15" ht="15" customHeight="1">
      <c r="O124" s="42"/>
    </row>
    <row r="125" spans="15:15" ht="15" customHeight="1">
      <c r="O125" s="42"/>
    </row>
    <row r="126" spans="15:15" ht="15" customHeight="1">
      <c r="O126" s="42"/>
    </row>
    <row r="127" spans="15:15" ht="15" customHeight="1">
      <c r="O127" s="42"/>
    </row>
    <row r="128" spans="15:15" ht="15" customHeight="1">
      <c r="O128" s="42"/>
    </row>
    <row r="129" spans="15:15" ht="15" customHeight="1">
      <c r="O129" s="42"/>
    </row>
    <row r="130" spans="15:15" ht="15" customHeight="1">
      <c r="O130" s="42"/>
    </row>
    <row r="131" spans="15:15" ht="15" customHeight="1">
      <c r="O131" s="42"/>
    </row>
    <row r="132" spans="15:15" ht="15" customHeight="1">
      <c r="O132" s="42"/>
    </row>
    <row r="133" spans="15:15" ht="15" customHeight="1">
      <c r="O133" s="42"/>
    </row>
    <row r="134" spans="15:15" ht="15" customHeight="1">
      <c r="O134" s="42"/>
    </row>
    <row r="135" spans="15:15" ht="15" customHeight="1">
      <c r="O135" s="42"/>
    </row>
    <row r="136" spans="15:15" ht="15" customHeight="1">
      <c r="O136" s="42"/>
    </row>
    <row r="137" spans="15:15" ht="15" customHeight="1">
      <c r="O137" s="42"/>
    </row>
    <row r="138" spans="15:15" ht="15" customHeight="1">
      <c r="O138" s="42"/>
    </row>
    <row r="139" spans="15:15" ht="15" customHeight="1">
      <c r="O139" s="42"/>
    </row>
    <row r="140" spans="15:15" ht="15" customHeight="1">
      <c r="O140" s="42"/>
    </row>
    <row r="141" spans="15:15" ht="15" customHeight="1">
      <c r="O141" s="42"/>
    </row>
    <row r="142" spans="15:15" ht="15" customHeight="1">
      <c r="O142" s="42"/>
    </row>
    <row r="143" spans="15:15" ht="15" customHeight="1">
      <c r="O143" s="42"/>
    </row>
    <row r="144" spans="15:15" ht="15" customHeight="1">
      <c r="O144" s="42"/>
    </row>
    <row r="145" spans="15:15" ht="15" customHeight="1">
      <c r="O145" s="42"/>
    </row>
    <row r="146" spans="15:15" ht="15" customHeight="1">
      <c r="O146" s="42"/>
    </row>
    <row r="147" spans="15:15" ht="15" customHeight="1">
      <c r="O147" s="42"/>
    </row>
    <row r="148" spans="15:15" ht="15" customHeight="1">
      <c r="O148" s="42"/>
    </row>
    <row r="149" spans="15:15" ht="15" customHeight="1">
      <c r="O149" s="42"/>
    </row>
  </sheetData>
  <autoFilter ref="A8:AU109" xr:uid="{3732CB04-74F9-4AF3-95AE-FEBE9AC7D380}"/>
  <mergeCells count="36">
    <mergeCell ref="AH3:AU3"/>
    <mergeCell ref="AC5:AN6"/>
    <mergeCell ref="X7:X8"/>
    <mergeCell ref="Y7:Y8"/>
    <mergeCell ref="Z7:Z8"/>
    <mergeCell ref="AA7:AA8"/>
    <mergeCell ref="AB7:AB8"/>
    <mergeCell ref="AO5:AT7"/>
    <mergeCell ref="AU5:AU8"/>
    <mergeCell ref="V5:X6"/>
    <mergeCell ref="Y5:AB6"/>
    <mergeCell ref="B2:AG2"/>
    <mergeCell ref="B3:AG3"/>
    <mergeCell ref="B4:AG4"/>
    <mergeCell ref="J7:J8"/>
    <mergeCell ref="K7:K8"/>
    <mergeCell ref="L7:L8"/>
    <mergeCell ref="C7:C8"/>
    <mergeCell ref="O7:O8"/>
    <mergeCell ref="B7:B8"/>
    <mergeCell ref="F7:F8"/>
    <mergeCell ref="G7:G8"/>
    <mergeCell ref="H7:H8"/>
    <mergeCell ref="I7:I8"/>
    <mergeCell ref="B5:O6"/>
    <mergeCell ref="P5:U6"/>
    <mergeCell ref="A5:A8"/>
    <mergeCell ref="M7:M8"/>
    <mergeCell ref="V7:V8"/>
    <mergeCell ref="W7:W8"/>
    <mergeCell ref="P7:P8"/>
    <mergeCell ref="R7:S7"/>
    <mergeCell ref="T7:U7"/>
    <mergeCell ref="Q7:Q8"/>
    <mergeCell ref="D7:E7"/>
    <mergeCell ref="N7:N8"/>
  </mergeCells>
  <conditionalFormatting sqref="AC10:AC67 AE10:AN67 AD10:AD109">
    <cfRule type="colorScale" priority="10">
      <colorScale>
        <cfvo type="num" val="1"/>
        <cfvo type="num" val="3"/>
        <cfvo type="num" val="5"/>
        <color rgb="FFF8696B"/>
        <color rgb="FFFFEB84"/>
        <color rgb="FF63BE7B"/>
      </colorScale>
    </cfRule>
  </conditionalFormatting>
  <conditionalFormatting sqref="AC68:AC109 AE68:AN109">
    <cfRule type="colorScale" priority="3">
      <colorScale>
        <cfvo type="num" val="1"/>
        <cfvo type="num" val="3"/>
        <cfvo type="num" val="5"/>
        <color rgb="FFF8696B"/>
        <color rgb="FFFFEB84"/>
        <color rgb="FF63BE7B"/>
      </colorScale>
    </cfRule>
  </conditionalFormatting>
  <conditionalFormatting sqref="AC9:AN9">
    <cfRule type="colorScale" priority="2">
      <colorScale>
        <cfvo type="num" val="1"/>
        <cfvo type="num" val="3"/>
        <cfvo type="num" val="5"/>
        <color rgb="FFF8696B"/>
        <color rgb="FFFFEB84"/>
        <color rgb="FF63BE7B"/>
      </colorScale>
    </cfRule>
  </conditionalFormatting>
  <conditionalFormatting sqref="AO9:AO67">
    <cfRule type="colorScale" priority="11">
      <colorScale>
        <cfvo type="num" val="0"/>
        <cfvo type="num" val="55"/>
        <cfvo type="num" val="100"/>
        <color rgb="FFA13544"/>
        <color rgb="FFFFC553"/>
        <color rgb="FF437A22"/>
      </colorScale>
    </cfRule>
  </conditionalFormatting>
  <conditionalFormatting sqref="AO68:AO109">
    <cfRule type="colorScale" priority="9">
      <colorScale>
        <cfvo type="num" val="0"/>
        <cfvo type="num" val="55"/>
        <cfvo type="num" val="100"/>
        <color rgb="FFA13544"/>
        <color rgb="FFFFC553"/>
        <color rgb="FF437A22"/>
      </colorScale>
    </cfRule>
  </conditionalFormatting>
  <conditionalFormatting sqref="AP9:AR109">
    <cfRule type="cellIs" dxfId="7" priority="1" operator="equal">
      <formula>"YES"</formula>
    </cfRule>
  </conditionalFormatting>
  <conditionalFormatting sqref="AS9:AS109">
    <cfRule type="cellIs" dxfId="6" priority="4" operator="equal">
      <formula>"Tier 1"</formula>
    </cfRule>
    <cfRule type="cellIs" dxfId="5" priority="5" operator="equal">
      <formula>"Tier 2"</formula>
    </cfRule>
    <cfRule type="cellIs" dxfId="4" priority="6" operator="equal">
      <formula>"Tier 3"</formula>
    </cfRule>
    <cfRule type="cellIs" dxfId="3" priority="7" operator="equal">
      <formula>"Excluded"</formula>
    </cfRule>
    <cfRule type="cellIs" dxfId="2" priority="8" operator="equal">
      <formula>"Defer / Abandon"</formula>
    </cfRule>
  </conditionalFormatting>
  <dataValidations count="9">
    <dataValidation type="list" allowBlank="1" sqref="P68:P71 P10 S68:S109 P13:P14 N9:N109" xr:uid="{3B92CF3D-D69B-4E32-A022-119E6EFCCF47}">
      <formula1>"Idle,Shut-in,Suspended"</formula1>
      <formula2>0</formula2>
    </dataValidation>
    <dataValidation type="list" allowBlank="1" sqref="W10 V11:V12 V15:V16 W13:W14 X74:X80 X68:X72 W68:W71 W73" xr:uid="{38BB153A-4B8C-455F-8C74-CCA8E4590BF1}">
      <formula1>"Cased hole,Open hole"</formula1>
      <formula2>0</formula2>
    </dataValidation>
    <dataValidation type="list" allowBlank="1" sqref="X10 W11:W12 X13:X14 W15:W16 X68:X71 Z68:Z71 Z74:Z80 Y69:Y73" xr:uid="{BB31FEC2-59EE-4055-8AA2-F28A31AC0F23}">
      <formula1>"ESP,SRP,Gas lift,PCP,None"</formula1>
      <formula2>0</formula2>
    </dataValidation>
    <dataValidation type="list" allowBlank="1" sqref="Y10 X11:X12 X15:X16 Y13:Y14 Z72 Y68:Y71" xr:uid="{941D71C9-7315-481F-A5FC-0801BE2EBA43}">
      <formula1>"Good,Suspect,Unknown"</formula1>
      <formula2>0</formula2>
    </dataValidation>
    <dataValidation type="list" allowBlank="1" sqref="Z10 Y11:Y12 Y15:Y16 Z13:Z14 Z68:Z71 AA68:AA72" xr:uid="{0ACAEC7E-F251-428F-A0FD-8E8CE1A1F09D}">
      <formula1>"Technical,Economic,Regulatory,Pump failure,Tubing leak,Casing corrosion,Sand production,Water cut high,Scale/paraffin,Wellhead issue,Other"</formula1>
      <formula2>0</formula2>
    </dataValidation>
    <dataValidation type="list" allowBlank="1" sqref="AA10 Z11:Z12 AA13:AA14 Z15:Z16 AA68:AA71 AB68:AB80" xr:uid="{35697784-4B56-4BAC-BB2B-6FF93A1102D6}">
      <formula1>"Producer,Injector,Observation"</formula1>
      <formula2>0</formula2>
    </dataValidation>
    <dataValidation type="list" allowBlank="1" sqref="AB10 AA11:AA12 AA15:AA16 AB13:AB14 AB68:AB80" xr:uid="{306DDC6E-7C95-493B-AD1D-F8BC7E457EF4}">
      <formula1>"Easy,Difficult,Seasonal"</formula1>
      <formula2>0</formula2>
    </dataValidation>
    <dataValidation type="list" allowBlank="1" sqref="AB15:AB16 AB10:AB12" xr:uid="{C113BB89-5274-4DEC-BB42-D4FC6F147511}">
      <formula1>"Ready,Partial,Not ready"</formula1>
      <formula2>0</formula2>
    </dataValidation>
    <dataValidation type="whole" allowBlank="1" errorTitle="Invalid score" error="Enter an integer between 1 and 5." promptTitle="Score 1-5" prompt="See Scoring Rubric for anchors." sqref="AJ56:AM56 AJ57:AN58 AI15:AI67 AJ15:AN55 AE68:AN109 AE10:AN14 AC68:AC109 AC10:AC58 AE15:AH58" xr:uid="{2F58F4E3-506C-4416-AE85-61D14D253D73}">
      <formula1>1</formula1>
      <formula2>5</formula2>
    </dataValidation>
  </dataValidations>
  <pageMargins left="0.75" right="0.75" top="1" bottom="1" header="0.511811023622047" footer="0.511811023622047"/>
  <pageSetup paperSize="9" orientation="portrait" horizontalDpi="300" verticalDpi="3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0BEAC-8A7B-4EE9-B352-0564F35D830C}">
  <dimension ref="B2:F11"/>
  <sheetViews>
    <sheetView showGridLines="0" zoomScaleNormal="100" workbookViewId="0">
      <selection activeCell="D8" sqref="D8"/>
    </sheetView>
  </sheetViews>
  <sheetFormatPr defaultColWidth="8.5703125" defaultRowHeight="15" customHeight="1"/>
  <cols>
    <col min="1" max="1" width="3" style="3" customWidth="1"/>
    <col min="2" max="2" width="14" style="3" customWidth="1"/>
    <col min="3" max="3" width="20.5703125" style="3" bestFit="1" customWidth="1"/>
    <col min="4" max="4" width="18" style="3" customWidth="1"/>
    <col min="5" max="5" width="50" style="3" customWidth="1"/>
    <col min="6" max="6" width="40" style="3" customWidth="1"/>
    <col min="7" max="16384" width="8.5703125" style="3"/>
  </cols>
  <sheetData>
    <row r="2" spans="2:6" ht="26.1" customHeight="1">
      <c r="B2" s="202" t="s">
        <v>1262</v>
      </c>
      <c r="C2" s="202"/>
      <c r="D2" s="202"/>
      <c r="E2" s="202"/>
      <c r="F2" s="202"/>
    </row>
    <row r="3" spans="2:6" ht="3.75" customHeight="1">
      <c r="B3" s="204"/>
      <c r="C3" s="204"/>
      <c r="D3" s="204"/>
      <c r="E3" s="204"/>
      <c r="F3" s="204"/>
    </row>
    <row r="4" spans="2:6" ht="15" customHeight="1">
      <c r="B4" s="203" t="s">
        <v>1263</v>
      </c>
      <c r="C4" s="203"/>
      <c r="D4" s="203"/>
      <c r="E4" s="203"/>
      <c r="F4" s="203"/>
    </row>
    <row r="5" spans="2:6" ht="15" customHeight="1" thickBot="1"/>
    <row r="6" spans="2:6" ht="25.5" customHeight="1" thickBot="1">
      <c r="B6" s="98" t="s">
        <v>54</v>
      </c>
      <c r="C6" s="98" t="s">
        <v>1264</v>
      </c>
      <c r="D6" s="98" t="s">
        <v>1265</v>
      </c>
      <c r="E6" s="98" t="s">
        <v>1266</v>
      </c>
      <c r="F6" s="98" t="s">
        <v>1267</v>
      </c>
    </row>
    <row r="7" spans="2:6" ht="60" customHeight="1">
      <c r="B7" s="99" t="s">
        <v>1268</v>
      </c>
      <c r="C7" s="94" t="s">
        <v>1269</v>
      </c>
      <c r="D7" s="94" t="s">
        <v>1270</v>
      </c>
      <c r="E7" s="95" t="s">
        <v>1271</v>
      </c>
      <c r="F7" s="95" t="s">
        <v>1272</v>
      </c>
    </row>
    <row r="8" spans="2:6" ht="60" customHeight="1">
      <c r="B8" s="100" t="s">
        <v>1273</v>
      </c>
      <c r="C8" s="96" t="s">
        <v>1274</v>
      </c>
      <c r="D8" s="96" t="s">
        <v>1275</v>
      </c>
      <c r="E8" s="97" t="s">
        <v>1276</v>
      </c>
      <c r="F8" s="97" t="s">
        <v>1277</v>
      </c>
    </row>
    <row r="9" spans="2:6" ht="60" customHeight="1">
      <c r="B9" s="101" t="s">
        <v>1278</v>
      </c>
      <c r="C9" s="94" t="s">
        <v>1279</v>
      </c>
      <c r="D9" s="94" t="s">
        <v>1280</v>
      </c>
      <c r="E9" s="95" t="s">
        <v>1281</v>
      </c>
      <c r="F9" s="95" t="s">
        <v>1282</v>
      </c>
    </row>
    <row r="10" spans="2:6" ht="60" customHeight="1">
      <c r="B10" s="102" t="s">
        <v>1283</v>
      </c>
      <c r="C10" s="96" t="s">
        <v>1284</v>
      </c>
      <c r="D10" s="96" t="s">
        <v>1285</v>
      </c>
      <c r="E10" s="97" t="s">
        <v>1286</v>
      </c>
      <c r="F10" s="97" t="s">
        <v>1287</v>
      </c>
    </row>
    <row r="11" spans="2:6" ht="60" customHeight="1">
      <c r="B11" s="103" t="s">
        <v>1288</v>
      </c>
      <c r="C11" s="94" t="s">
        <v>1289</v>
      </c>
      <c r="D11" s="94" t="s">
        <v>1290</v>
      </c>
      <c r="E11" s="95" t="s">
        <v>1291</v>
      </c>
      <c r="F11" s="95" t="s">
        <v>1292</v>
      </c>
    </row>
  </sheetData>
  <mergeCells count="3">
    <mergeCell ref="B2:F2"/>
    <mergeCell ref="B3:F3"/>
    <mergeCell ref="B4:F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651B9-C826-4B73-BE44-490CF375166F}">
  <dimension ref="A2:P17"/>
  <sheetViews>
    <sheetView showGridLines="0" zoomScale="90" zoomScaleNormal="90" workbookViewId="0">
      <pane xSplit="2" ySplit="5" topLeftCell="C10" activePane="bottomRight" state="frozen"/>
      <selection pane="bottomRight" activeCell="F13" sqref="F13"/>
      <selection pane="bottomLeft"/>
      <selection pane="topRight"/>
    </sheetView>
  </sheetViews>
  <sheetFormatPr defaultColWidth="8.5703125" defaultRowHeight="15" customHeight="1"/>
  <cols>
    <col min="1" max="1" width="3" style="3" customWidth="1"/>
    <col min="2" max="2" width="5" style="4" customWidth="1"/>
    <col min="3" max="8" width="28" style="3" customWidth="1"/>
    <col min="9" max="9" width="8.5703125" style="3"/>
    <col min="10" max="10" width="12.5703125" style="3" hidden="1" customWidth="1"/>
    <col min="11" max="16" width="21.42578125" style="3" hidden="1" customWidth="1"/>
    <col min="17" max="16384" width="8.5703125" style="3"/>
  </cols>
  <sheetData>
    <row r="2" spans="1:16" ht="26.1" customHeight="1">
      <c r="B2" s="202" t="s">
        <v>1293</v>
      </c>
      <c r="C2" s="202"/>
      <c r="D2" s="202"/>
      <c r="E2" s="202"/>
      <c r="F2" s="202"/>
      <c r="G2" s="202"/>
      <c r="H2" s="202"/>
    </row>
    <row r="3" spans="1:16" ht="3.75" customHeight="1">
      <c r="B3" s="204"/>
      <c r="C3" s="204"/>
      <c r="D3" s="204"/>
      <c r="E3" s="204"/>
      <c r="F3" s="204"/>
      <c r="G3" s="204"/>
      <c r="H3" s="204"/>
    </row>
    <row r="4" spans="1:16" ht="15" customHeight="1" thickBot="1">
      <c r="B4" s="203" t="s">
        <v>1294</v>
      </c>
      <c r="C4" s="203"/>
      <c r="D4" s="203"/>
      <c r="E4" s="203"/>
      <c r="F4" s="203"/>
      <c r="G4" s="203"/>
      <c r="H4" s="203"/>
    </row>
    <row r="5" spans="1:16" ht="31.5" customHeight="1" thickBot="1">
      <c r="B5" s="77" t="s">
        <v>1295</v>
      </c>
      <c r="C5" s="106" t="s">
        <v>1296</v>
      </c>
      <c r="D5" s="107" t="s">
        <v>1297</v>
      </c>
      <c r="E5" s="108" t="s">
        <v>1298</v>
      </c>
      <c r="F5" s="109" t="s">
        <v>1299</v>
      </c>
      <c r="G5" s="110" t="s">
        <v>1300</v>
      </c>
      <c r="H5" s="111" t="s">
        <v>1301</v>
      </c>
      <c r="J5" s="45" t="s">
        <v>1295</v>
      </c>
      <c r="K5" s="45" t="s">
        <v>1296</v>
      </c>
      <c r="L5" s="45" t="s">
        <v>1302</v>
      </c>
      <c r="M5" s="45" t="s">
        <v>1303</v>
      </c>
      <c r="N5" s="45" t="s">
        <v>1304</v>
      </c>
      <c r="O5" s="45" t="s">
        <v>1305</v>
      </c>
      <c r="P5" s="45" t="s">
        <v>1306</v>
      </c>
    </row>
    <row r="6" spans="1:16" ht="42" customHeight="1">
      <c r="B6" s="59">
        <v>1</v>
      </c>
      <c r="C6" s="60" t="s">
        <v>1307</v>
      </c>
      <c r="D6" s="104" t="s">
        <v>1308</v>
      </c>
      <c r="E6" s="104" t="s">
        <v>1309</v>
      </c>
      <c r="F6" s="104" t="s">
        <v>1310</v>
      </c>
      <c r="G6" s="104" t="s">
        <v>1311</v>
      </c>
      <c r="H6" s="104" t="s">
        <v>1312</v>
      </c>
      <c r="J6" s="56">
        <v>1</v>
      </c>
      <c r="K6" s="57" t="s">
        <v>1307</v>
      </c>
      <c r="L6" s="58" t="s">
        <v>1308</v>
      </c>
      <c r="M6" s="58" t="s">
        <v>1309</v>
      </c>
      <c r="N6" s="58" t="s">
        <v>1310</v>
      </c>
      <c r="O6" s="58" t="s">
        <v>1311</v>
      </c>
      <c r="P6" s="58" t="s">
        <v>1312</v>
      </c>
    </row>
    <row r="7" spans="1:16" ht="42" customHeight="1">
      <c r="B7" s="54">
        <v>2</v>
      </c>
      <c r="C7" s="55" t="s">
        <v>1313</v>
      </c>
      <c r="D7" s="105" t="s">
        <v>1314</v>
      </c>
      <c r="E7" s="105" t="s">
        <v>1315</v>
      </c>
      <c r="F7" s="105" t="s">
        <v>1316</v>
      </c>
      <c r="G7" s="105" t="s">
        <v>1317</v>
      </c>
      <c r="H7" s="105" t="s">
        <v>1318</v>
      </c>
      <c r="J7" s="56">
        <v>3</v>
      </c>
      <c r="K7" s="64" t="s">
        <v>1313</v>
      </c>
      <c r="L7" s="65" t="s">
        <v>1314</v>
      </c>
      <c r="M7" s="65" t="s">
        <v>1315</v>
      </c>
      <c r="N7" s="65" t="s">
        <v>1316</v>
      </c>
      <c r="O7" s="65" t="s">
        <v>1317</v>
      </c>
      <c r="P7" s="65" t="s">
        <v>1318</v>
      </c>
    </row>
    <row r="8" spans="1:16" ht="42" customHeight="1">
      <c r="B8" s="59">
        <v>3</v>
      </c>
      <c r="C8" s="60" t="s">
        <v>1319</v>
      </c>
      <c r="D8" s="104" t="s">
        <v>1320</v>
      </c>
      <c r="E8" s="104" t="s">
        <v>1321</v>
      </c>
      <c r="F8" s="104" t="s">
        <v>1322</v>
      </c>
      <c r="G8" s="104" t="s">
        <v>1323</v>
      </c>
      <c r="H8" s="104" t="s">
        <v>1324</v>
      </c>
      <c r="J8" s="61">
        <v>4</v>
      </c>
      <c r="K8" s="66" t="s">
        <v>1319</v>
      </c>
      <c r="L8" s="67" t="s">
        <v>1320</v>
      </c>
      <c r="M8" s="67" t="s">
        <v>1321</v>
      </c>
      <c r="N8" s="67" t="s">
        <v>1322</v>
      </c>
      <c r="O8" s="67" t="s">
        <v>1323</v>
      </c>
      <c r="P8" s="67" t="s">
        <v>1324</v>
      </c>
    </row>
    <row r="9" spans="1:16" ht="42" customHeight="1">
      <c r="B9" s="54">
        <v>4</v>
      </c>
      <c r="C9" s="55" t="s">
        <v>1325</v>
      </c>
      <c r="D9" s="105" t="s">
        <v>1326</v>
      </c>
      <c r="E9" s="105" t="s">
        <v>1327</v>
      </c>
      <c r="F9" s="105" t="s">
        <v>1328</v>
      </c>
      <c r="G9" s="105" t="s">
        <v>1329</v>
      </c>
      <c r="H9" s="105" t="s">
        <v>1330</v>
      </c>
      <c r="J9" s="68">
        <v>5</v>
      </c>
      <c r="K9" s="57" t="s">
        <v>1325</v>
      </c>
      <c r="L9" s="69" t="s">
        <v>1326</v>
      </c>
      <c r="M9" s="69" t="s">
        <v>1327</v>
      </c>
      <c r="N9" s="69" t="s">
        <v>1328</v>
      </c>
      <c r="O9" s="69" t="s">
        <v>1329</v>
      </c>
      <c r="P9" s="69" t="s">
        <v>1330</v>
      </c>
    </row>
    <row r="10" spans="1:16" ht="42" customHeight="1">
      <c r="B10" s="59">
        <v>5</v>
      </c>
      <c r="C10" s="60" t="s">
        <v>1331</v>
      </c>
      <c r="D10" s="104" t="s">
        <v>1332</v>
      </c>
      <c r="E10" s="104" t="s">
        <v>1333</v>
      </c>
      <c r="F10" s="104" t="s">
        <v>1334</v>
      </c>
      <c r="G10" s="104" t="s">
        <v>1335</v>
      </c>
      <c r="H10" s="104" t="s">
        <v>1336</v>
      </c>
      <c r="J10" s="61">
        <v>6</v>
      </c>
      <c r="K10" s="62" t="s">
        <v>1331</v>
      </c>
      <c r="L10" s="63" t="s">
        <v>1332</v>
      </c>
      <c r="M10" s="63" t="s">
        <v>1333</v>
      </c>
      <c r="N10" s="63" t="s">
        <v>1334</v>
      </c>
      <c r="O10" s="63" t="s">
        <v>1335</v>
      </c>
      <c r="P10" s="63" t="s">
        <v>1336</v>
      </c>
    </row>
    <row r="11" spans="1:16" ht="42" customHeight="1">
      <c r="B11" s="54">
        <v>6</v>
      </c>
      <c r="C11" s="55" t="s">
        <v>1337</v>
      </c>
      <c r="D11" s="105" t="s">
        <v>1338</v>
      </c>
      <c r="E11" s="105" t="s">
        <v>1339</v>
      </c>
      <c r="F11" s="105" t="s">
        <v>1340</v>
      </c>
      <c r="G11" s="105" t="s">
        <v>1341</v>
      </c>
      <c r="H11" s="105" t="s">
        <v>1342</v>
      </c>
      <c r="J11" s="68">
        <v>7</v>
      </c>
      <c r="K11" s="57" t="s">
        <v>1337</v>
      </c>
      <c r="L11" s="69" t="s">
        <v>1338</v>
      </c>
      <c r="M11" s="69" t="s">
        <v>1339</v>
      </c>
      <c r="N11" s="69" t="s">
        <v>1340</v>
      </c>
      <c r="O11" s="69" t="s">
        <v>1341</v>
      </c>
      <c r="P11" s="69" t="s">
        <v>1342</v>
      </c>
    </row>
    <row r="12" spans="1:16" ht="42" customHeight="1">
      <c r="B12" s="59">
        <v>7</v>
      </c>
      <c r="C12" s="60" t="s">
        <v>1343</v>
      </c>
      <c r="D12" s="104" t="s">
        <v>1344</v>
      </c>
      <c r="E12" s="104" t="s">
        <v>1345</v>
      </c>
      <c r="F12" s="104" t="s">
        <v>1346</v>
      </c>
      <c r="G12" s="104" t="s">
        <v>1347</v>
      </c>
      <c r="H12" s="104" t="s">
        <v>1348</v>
      </c>
      <c r="J12" s="61">
        <v>8</v>
      </c>
      <c r="K12" s="62" t="s">
        <v>1343</v>
      </c>
      <c r="L12" s="63" t="s">
        <v>1344</v>
      </c>
      <c r="M12" s="63" t="s">
        <v>1345</v>
      </c>
      <c r="N12" s="63" t="s">
        <v>1346</v>
      </c>
      <c r="O12" s="63" t="s">
        <v>1347</v>
      </c>
      <c r="P12" s="63" t="s">
        <v>1348</v>
      </c>
    </row>
    <row r="13" spans="1:16" ht="42" customHeight="1">
      <c r="B13" s="54">
        <v>8</v>
      </c>
      <c r="C13" s="55" t="s">
        <v>1349</v>
      </c>
      <c r="D13" s="105" t="s">
        <v>1350</v>
      </c>
      <c r="E13" s="105" t="s">
        <v>1351</v>
      </c>
      <c r="F13" s="105" t="s">
        <v>1352</v>
      </c>
      <c r="G13" s="105" t="s">
        <v>1353</v>
      </c>
      <c r="H13" s="105" t="s">
        <v>1354</v>
      </c>
      <c r="J13" s="61">
        <v>10</v>
      </c>
      <c r="K13" s="62" t="s">
        <v>1349</v>
      </c>
      <c r="L13" s="63" t="s">
        <v>1350</v>
      </c>
      <c r="M13" s="63" t="s">
        <v>1351</v>
      </c>
      <c r="N13" s="63" t="s">
        <v>1355</v>
      </c>
      <c r="O13" s="63" t="s">
        <v>1353</v>
      </c>
      <c r="P13" s="63" t="s">
        <v>1354</v>
      </c>
    </row>
    <row r="14" spans="1:16" ht="42" customHeight="1">
      <c r="A14" s="54"/>
      <c r="B14" s="59">
        <v>9</v>
      </c>
      <c r="C14" s="104" t="s">
        <v>1356</v>
      </c>
      <c r="D14" s="104" t="s">
        <v>1357</v>
      </c>
      <c r="E14" s="104" t="s">
        <v>1358</v>
      </c>
      <c r="F14" s="104" t="s">
        <v>1359</v>
      </c>
      <c r="G14" s="104" t="s">
        <v>1360</v>
      </c>
      <c r="H14" s="54" t="s">
        <v>1361</v>
      </c>
      <c r="J14" s="68">
        <v>11</v>
      </c>
      <c r="K14" s="64" t="s">
        <v>1356</v>
      </c>
      <c r="L14" s="65" t="s">
        <v>1357</v>
      </c>
      <c r="M14" s="65" t="s">
        <v>1358</v>
      </c>
      <c r="N14" s="65" t="s">
        <v>1359</v>
      </c>
      <c r="O14" s="65" t="s">
        <v>1360</v>
      </c>
      <c r="P14" s="65" t="s">
        <v>1361</v>
      </c>
    </row>
    <row r="15" spans="1:16" ht="42" customHeight="1">
      <c r="B15" s="54">
        <v>10</v>
      </c>
      <c r="C15" s="55" t="s">
        <v>1362</v>
      </c>
      <c r="D15" s="105" t="s">
        <v>1363</v>
      </c>
      <c r="E15" s="105" t="s">
        <v>1364</v>
      </c>
      <c r="F15" s="105" t="s">
        <v>1365</v>
      </c>
      <c r="G15" s="105" t="s">
        <v>1366</v>
      </c>
      <c r="H15" s="105" t="s">
        <v>1367</v>
      </c>
      <c r="J15" s="61">
        <v>12</v>
      </c>
      <c r="K15" s="62" t="s">
        <v>1362</v>
      </c>
      <c r="L15" s="63" t="s">
        <v>1363</v>
      </c>
      <c r="M15" s="63" t="s">
        <v>1364</v>
      </c>
      <c r="N15" s="63" t="s">
        <v>1365</v>
      </c>
      <c r="O15" s="63" t="s">
        <v>1366</v>
      </c>
      <c r="P15" s="63" t="s">
        <v>1367</v>
      </c>
    </row>
    <row r="16" spans="1:16" ht="42" customHeight="1">
      <c r="B16" s="59">
        <v>11</v>
      </c>
      <c r="C16" s="60" t="s">
        <v>1368</v>
      </c>
      <c r="D16" s="104" t="s">
        <v>1369</v>
      </c>
      <c r="E16" s="104" t="s">
        <v>1370</v>
      </c>
      <c r="F16" s="104" t="s">
        <v>1371</v>
      </c>
      <c r="G16" s="104" t="s">
        <v>1372</v>
      </c>
      <c r="H16" s="104" t="s">
        <v>1373</v>
      </c>
      <c r="J16" s="68">
        <v>13</v>
      </c>
      <c r="K16" s="64" t="s">
        <v>1368</v>
      </c>
      <c r="L16" s="65" t="s">
        <v>1369</v>
      </c>
      <c r="M16" s="65" t="s">
        <v>1370</v>
      </c>
      <c r="N16" s="65" t="s">
        <v>1371</v>
      </c>
      <c r="O16" s="65" t="s">
        <v>1372</v>
      </c>
      <c r="P16" s="65" t="s">
        <v>1373</v>
      </c>
    </row>
    <row r="17" spans="2:16" ht="42" customHeight="1">
      <c r="B17" s="54">
        <v>12</v>
      </c>
      <c r="C17" s="55" t="s">
        <v>1374</v>
      </c>
      <c r="D17" s="105" t="s">
        <v>1375</v>
      </c>
      <c r="E17" s="105" t="s">
        <v>1376</v>
      </c>
      <c r="F17" s="105" t="s">
        <v>1377</v>
      </c>
      <c r="G17" s="105" t="s">
        <v>1378</v>
      </c>
      <c r="H17" s="105" t="s">
        <v>1379</v>
      </c>
      <c r="J17" s="61">
        <v>14</v>
      </c>
      <c r="K17" s="62" t="s">
        <v>1374</v>
      </c>
      <c r="L17" s="63" t="s">
        <v>1375</v>
      </c>
      <c r="M17" s="63" t="s">
        <v>1376</v>
      </c>
      <c r="N17" s="63" t="s">
        <v>1377</v>
      </c>
      <c r="O17" s="63" t="s">
        <v>1378</v>
      </c>
      <c r="P17" s="63" t="s">
        <v>1379</v>
      </c>
    </row>
  </sheetData>
  <mergeCells count="3">
    <mergeCell ref="B2:H2"/>
    <mergeCell ref="B3:H3"/>
    <mergeCell ref="B4:H4"/>
  </mergeCell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0A2A4-52CD-4DD9-A230-17E934C2CE88}">
  <dimension ref="B2:P21"/>
  <sheetViews>
    <sheetView showGridLines="0" zoomScale="80" zoomScaleNormal="80" workbookViewId="0">
      <selection activeCell="D20" sqref="D20"/>
    </sheetView>
  </sheetViews>
  <sheetFormatPr defaultColWidth="8.5703125" defaultRowHeight="15" customHeight="1"/>
  <cols>
    <col min="1" max="1" width="3" style="3" customWidth="1"/>
    <col min="2" max="2" width="5" style="3" customWidth="1"/>
    <col min="3" max="3" width="41.7109375" style="3" bestFit="1" customWidth="1"/>
    <col min="4" max="4" width="26.7109375" style="3" bestFit="1" customWidth="1"/>
    <col min="5" max="5" width="15" style="3" customWidth="1"/>
    <col min="6" max="6" width="12" style="3" customWidth="1"/>
    <col min="7" max="7" width="12" style="3" hidden="1" customWidth="1"/>
    <col min="8" max="8" width="97.85546875" style="3" bestFit="1" customWidth="1"/>
    <col min="9" max="9" width="8.5703125" style="3"/>
    <col min="10" max="13" width="0" style="3" hidden="1" customWidth="1"/>
    <col min="14" max="14" width="8.5703125" style="3"/>
    <col min="15" max="15" width="20.42578125" style="3" bestFit="1" customWidth="1"/>
    <col min="16" max="16" width="28.42578125" style="3" bestFit="1" customWidth="1"/>
    <col min="17" max="16384" width="8.5703125" style="3"/>
  </cols>
  <sheetData>
    <row r="2" spans="2:16" ht="26.1" customHeight="1">
      <c r="B2" s="202" t="s">
        <v>1380</v>
      </c>
      <c r="C2" s="202"/>
      <c r="D2" s="202"/>
      <c r="E2" s="202"/>
      <c r="F2" s="202"/>
      <c r="G2" s="202"/>
      <c r="H2" s="202"/>
    </row>
    <row r="3" spans="2:16" ht="3.75" customHeight="1">
      <c r="B3" s="204"/>
      <c r="C3" s="204"/>
      <c r="D3" s="204"/>
      <c r="E3" s="204"/>
      <c r="F3" s="204"/>
      <c r="G3" s="204"/>
      <c r="H3" s="204"/>
    </row>
    <row r="4" spans="2:16" ht="15" customHeight="1">
      <c r="B4" s="203" t="s">
        <v>1381</v>
      </c>
      <c r="C4" s="203"/>
      <c r="D4" s="203"/>
      <c r="E4" s="203"/>
      <c r="F4" s="203"/>
      <c r="G4" s="203"/>
      <c r="H4" s="203"/>
    </row>
    <row r="5" spans="2:16" ht="15" customHeight="1" thickBot="1"/>
    <row r="6" spans="2:16" ht="27.75" customHeight="1" thickBot="1">
      <c r="B6" s="77" t="s">
        <v>1295</v>
      </c>
      <c r="C6" s="77" t="s">
        <v>1296</v>
      </c>
      <c r="D6" s="77" t="s">
        <v>1382</v>
      </c>
      <c r="E6" s="77" t="s">
        <v>1383</v>
      </c>
      <c r="F6" s="77" t="s">
        <v>1384</v>
      </c>
      <c r="G6" s="77" t="s">
        <v>1385</v>
      </c>
      <c r="H6" s="77" t="s">
        <v>1386</v>
      </c>
      <c r="J6" s="46">
        <f>SUM(J7:J18)</f>
        <v>0.8</v>
      </c>
      <c r="O6" s="49" t="s">
        <v>1387</v>
      </c>
      <c r="P6" s="50" t="s">
        <v>1388</v>
      </c>
    </row>
    <row r="7" spans="2:16" ht="30" customHeight="1" thickBot="1">
      <c r="B7" s="78">
        <v>1</v>
      </c>
      <c r="C7" s="85" t="s">
        <v>1389</v>
      </c>
      <c r="D7" s="78" t="s">
        <v>1390</v>
      </c>
      <c r="E7" s="78" t="s">
        <v>1391</v>
      </c>
      <c r="F7" s="79">
        <v>0.1</v>
      </c>
      <c r="G7" s="80" t="s">
        <v>2</v>
      </c>
      <c r="H7" s="78" t="s">
        <v>1392</v>
      </c>
      <c r="J7" s="47">
        <v>0.1</v>
      </c>
      <c r="O7" s="51">
        <f>F7+F8+F9+F15+F18</f>
        <v>0.45</v>
      </c>
      <c r="P7" s="52">
        <f>F11+F12+F14</f>
        <v>0.35</v>
      </c>
    </row>
    <row r="8" spans="2:16" ht="30" customHeight="1">
      <c r="B8" s="81">
        <v>2</v>
      </c>
      <c r="C8" s="85" t="s">
        <v>1393</v>
      </c>
      <c r="D8" s="81" t="s">
        <v>1394</v>
      </c>
      <c r="E8" s="81" t="s">
        <v>1395</v>
      </c>
      <c r="F8" s="79">
        <v>0.15</v>
      </c>
      <c r="G8" s="82" t="s">
        <v>2</v>
      </c>
      <c r="H8" s="81" t="s">
        <v>1396</v>
      </c>
      <c r="J8" s="47">
        <v>0.1</v>
      </c>
    </row>
    <row r="9" spans="2:16" ht="30" customHeight="1">
      <c r="B9" s="78">
        <v>3</v>
      </c>
      <c r="C9" s="86" t="s">
        <v>1319</v>
      </c>
      <c r="D9" s="78" t="s">
        <v>1394</v>
      </c>
      <c r="E9" s="78" t="s">
        <v>1395</v>
      </c>
      <c r="F9" s="79">
        <v>0.05</v>
      </c>
      <c r="G9" s="80" t="s">
        <v>2</v>
      </c>
      <c r="H9" s="78" t="s">
        <v>1397</v>
      </c>
      <c r="J9" s="47">
        <v>0.05</v>
      </c>
    </row>
    <row r="10" spans="2:16" ht="30" customHeight="1">
      <c r="B10" s="81">
        <v>4</v>
      </c>
      <c r="C10" s="81" t="s">
        <v>1398</v>
      </c>
      <c r="D10" s="81" t="s">
        <v>1394</v>
      </c>
      <c r="E10" s="81" t="s">
        <v>1395</v>
      </c>
      <c r="F10" s="79">
        <v>0.05</v>
      </c>
      <c r="G10" s="82" t="s">
        <v>2</v>
      </c>
      <c r="H10" s="81" t="s">
        <v>1399</v>
      </c>
      <c r="J10" s="47">
        <v>0.05</v>
      </c>
    </row>
    <row r="11" spans="2:16" ht="14.45">
      <c r="B11" s="78">
        <v>5</v>
      </c>
      <c r="C11" s="87" t="s">
        <v>1400</v>
      </c>
      <c r="D11" s="78" t="s">
        <v>1401</v>
      </c>
      <c r="E11" s="78" t="s">
        <v>1395</v>
      </c>
      <c r="F11" s="79">
        <v>0.15</v>
      </c>
      <c r="G11" s="83" t="s">
        <v>1402</v>
      </c>
      <c r="H11" s="88" t="s">
        <v>1403</v>
      </c>
      <c r="J11" s="47">
        <v>0.05</v>
      </c>
    </row>
    <row r="12" spans="2:16" ht="30" customHeight="1">
      <c r="B12" s="81">
        <v>6</v>
      </c>
      <c r="C12" s="89" t="s">
        <v>1404</v>
      </c>
      <c r="D12" s="81" t="s">
        <v>1390</v>
      </c>
      <c r="E12" s="81" t="s">
        <v>1395</v>
      </c>
      <c r="F12" s="79">
        <v>0.1</v>
      </c>
      <c r="G12" s="82" t="s">
        <v>2</v>
      </c>
      <c r="H12" s="81" t="s">
        <v>1405</v>
      </c>
      <c r="J12" s="47">
        <v>0.05</v>
      </c>
    </row>
    <row r="13" spans="2:16" ht="30" customHeight="1">
      <c r="B13" s="78">
        <v>7</v>
      </c>
      <c r="C13" s="90" t="s">
        <v>1343</v>
      </c>
      <c r="D13" s="78" t="s">
        <v>1406</v>
      </c>
      <c r="E13" s="78" t="s">
        <v>1407</v>
      </c>
      <c r="F13" s="79">
        <v>0.05</v>
      </c>
      <c r="G13" s="80" t="s">
        <v>2</v>
      </c>
      <c r="H13" s="78" t="s">
        <v>1408</v>
      </c>
      <c r="J13" s="47">
        <f t="shared" ref="J13" si="0">F13</f>
        <v>0.05</v>
      </c>
    </row>
    <row r="14" spans="2:16" ht="30" customHeight="1">
      <c r="B14" s="81">
        <v>8</v>
      </c>
      <c r="C14" s="87" t="s">
        <v>1349</v>
      </c>
      <c r="D14" s="81" t="s">
        <v>1406</v>
      </c>
      <c r="E14" s="81" t="s">
        <v>1407</v>
      </c>
      <c r="F14" s="79">
        <v>0.1</v>
      </c>
      <c r="G14" s="82" t="s">
        <v>2</v>
      </c>
      <c r="H14" s="81" t="s">
        <v>1409</v>
      </c>
      <c r="J14" s="47">
        <v>0.1</v>
      </c>
    </row>
    <row r="15" spans="2:16" ht="30" customHeight="1">
      <c r="B15" s="78">
        <v>9</v>
      </c>
      <c r="C15" s="85" t="s">
        <v>1410</v>
      </c>
      <c r="D15" s="78" t="s">
        <v>1394</v>
      </c>
      <c r="E15" s="78" t="s">
        <v>1411</v>
      </c>
      <c r="F15" s="79">
        <v>0.1</v>
      </c>
      <c r="G15" s="80" t="s">
        <v>2</v>
      </c>
      <c r="H15" s="78" t="s">
        <v>1412</v>
      </c>
      <c r="J15" s="47">
        <v>0.1</v>
      </c>
    </row>
    <row r="16" spans="2:16" ht="30" customHeight="1">
      <c r="B16" s="81">
        <v>10</v>
      </c>
      <c r="C16" s="81" t="s">
        <v>1362</v>
      </c>
      <c r="D16" s="81" t="s">
        <v>1406</v>
      </c>
      <c r="E16" s="81" t="s">
        <v>1411</v>
      </c>
      <c r="F16" s="79">
        <v>0.05</v>
      </c>
      <c r="G16" s="82" t="s">
        <v>2</v>
      </c>
      <c r="H16" s="81" t="s">
        <v>1413</v>
      </c>
      <c r="J16" s="47">
        <v>0.05</v>
      </c>
    </row>
    <row r="17" spans="2:10" ht="30" customHeight="1">
      <c r="B17" s="78">
        <v>11</v>
      </c>
      <c r="C17" s="81" t="s">
        <v>1368</v>
      </c>
      <c r="D17" s="78" t="s">
        <v>1401</v>
      </c>
      <c r="E17" s="78" t="s">
        <v>1411</v>
      </c>
      <c r="F17" s="79">
        <v>0.05</v>
      </c>
      <c r="G17" s="78" t="s">
        <v>2</v>
      </c>
      <c r="H17" s="78" t="s">
        <v>1414</v>
      </c>
      <c r="J17" s="47">
        <v>0.05</v>
      </c>
    </row>
    <row r="18" spans="2:10" ht="30" customHeight="1">
      <c r="B18" s="81">
        <v>12</v>
      </c>
      <c r="C18" s="86" t="s">
        <v>1415</v>
      </c>
      <c r="D18" s="81" t="s">
        <v>1394</v>
      </c>
      <c r="E18" s="81" t="s">
        <v>1411</v>
      </c>
      <c r="F18" s="79">
        <v>0.05</v>
      </c>
      <c r="G18" s="82" t="s">
        <v>2</v>
      </c>
      <c r="H18" s="81" t="s">
        <v>1416</v>
      </c>
      <c r="J18" s="47">
        <v>0.05</v>
      </c>
    </row>
    <row r="19" spans="2:10" ht="14.45">
      <c r="B19" s="84"/>
      <c r="C19" s="91" t="s">
        <v>1417</v>
      </c>
      <c r="D19" s="92"/>
      <c r="E19" s="92"/>
      <c r="F19" s="48">
        <f>SUM(F7:F18)</f>
        <v>1</v>
      </c>
      <c r="G19" s="93"/>
      <c r="H19" s="92"/>
    </row>
    <row r="21" spans="2:10" ht="30" customHeight="1">
      <c r="B21" s="53"/>
      <c r="C21" s="203"/>
      <c r="D21" s="203"/>
      <c r="E21" s="203"/>
      <c r="F21" s="203"/>
      <c r="G21" s="203"/>
      <c r="H21" s="203"/>
    </row>
  </sheetData>
  <autoFilter ref="A6:M19" xr:uid="{00000000-0001-0000-0300-000000000000}"/>
  <mergeCells count="4">
    <mergeCell ref="B2:H2"/>
    <mergeCell ref="B3:H3"/>
    <mergeCell ref="B4:H4"/>
    <mergeCell ref="C21:H21"/>
  </mergeCells>
  <conditionalFormatting sqref="F19">
    <cfRule type="cellIs" dxfId="1" priority="1" operator="equal">
      <formula>1</formula>
    </cfRule>
    <cfRule type="cellIs" dxfId="0" priority="2" operator="notEqual">
      <formula>1</formula>
    </cfRule>
  </conditionalFormatting>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qlik-reporting-report-data>CiQ1NmM1ZDBkNy0xYTBlLTQxYWUtYjU3Yy1lODcyMWVjMjAzMDYQARpMCiQ4YmI2OWZhOS1kY2FlLTQ3OGQtOWUzMS01ODE2NTBlYmM5MGUiJGh0dHBzOi8vaGFsbGlidXJ0b24udXMucWxpa2Nsb3VkLmNvbSoCCAI=</qlik-reporting-report-data>
</file>

<file path=customXml/itemProps1.xml><?xml version="1.0" encoding="utf-8"?>
<ds:datastoreItem xmlns:ds="http://schemas.openxmlformats.org/officeDocument/2006/customXml" ds:itemID="{5D66B2AB-78F0-4E89-B517-5BE6AB4DD1F4}"/>
</file>

<file path=docMetadata/LabelInfo.xml><?xml version="1.0" encoding="utf-8"?>
<clbl:labelList xmlns:clbl="http://schemas.microsoft.com/office/2020/mipLabelMetadata">
  <clbl:label id="{bad6f6f2-a951-4904-b531-92e1207fc7a5}" enabled="1" method="Standard" siteId="{b7be7686-6f97-4db7-9081-a23cf09a96b5}"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2026-06-30T10:36:11Z</dcterms:created>
  <dcterms:modified xsi:type="dcterms:W3CDTF">2026-07-19T10:40:08Z</dcterms:modified>
  <cp:category/>
  <cp:contentStatus/>
</cp:coreProperties>
</file>