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lliburton-my.sharepoint.com/personal/rafdi_masri_halliburton_com/Documents/Documents/"/>
    </mc:Choice>
  </mc:AlternateContent>
  <xr:revisionPtr revIDLastSave="995" documentId="8_{28DA4EFC-1BA9-4553-940C-7FBB71F66EAA}" xr6:coauthVersionLast="47" xr6:coauthVersionMax="47" xr10:uidLastSave="{E6ABDA28-4DD9-40E3-ACCA-A39FFB5839C4}"/>
  <bookViews>
    <workbookView minimized="1" xWindow="2240" yWindow="2240" windowWidth="14400" windowHeight="8170" firstSheet="1" xr2:uid="{FBE49119-03E8-49FA-8CDD-1688AABE3F38}"/>
  </bookViews>
  <sheets>
    <sheet name="Existing perfo + NZBP" sheetId="1" r:id="rId1"/>
    <sheet name="Summary" sheetId="2" r:id="rId2"/>
  </sheets>
  <definedNames>
    <definedName name="_xlnm._FilterDatabase" localSheetId="1" hidden="1">Summary!$C$2:$F$2</definedName>
    <definedName name="_xlnm._FilterDatabase" localSheetId="0" hidden="1">'Existing perfo + NZBP'!$B$2:$O$562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4" i="2" l="1"/>
  <c r="D114" i="2"/>
  <c r="F114" i="2" s="1"/>
  <c r="E113" i="2"/>
  <c r="D113" i="2"/>
  <c r="D112" i="2"/>
  <c r="F112" i="2" s="1"/>
  <c r="D111" i="2"/>
  <c r="F111" i="2" s="1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62" i="2"/>
  <c r="D61" i="2"/>
  <c r="D60" i="2"/>
  <c r="D59" i="2"/>
  <c r="D58" i="2"/>
  <c r="D57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E20" i="2"/>
  <c r="D20" i="2"/>
  <c r="F20" i="2" s="1"/>
  <c r="D19" i="2"/>
  <c r="F19" i="2" s="1"/>
  <c r="D18" i="2"/>
  <c r="F18" i="2" s="1"/>
  <c r="E17" i="2"/>
  <c r="D17" i="2"/>
  <c r="F17" i="2" s="1"/>
  <c r="D16" i="2"/>
  <c r="F16" i="2" s="1"/>
  <c r="E14" i="2"/>
  <c r="D14" i="2"/>
  <c r="F14" i="2" s="1"/>
  <c r="E12" i="2"/>
  <c r="D12" i="2" s="1"/>
  <c r="E11" i="2"/>
  <c r="D11" i="2"/>
  <c r="F11" i="2" s="1"/>
  <c r="E10" i="2"/>
  <c r="D10" i="2"/>
  <c r="F10" i="2" s="1"/>
  <c r="E9" i="2"/>
  <c r="D9" i="2"/>
  <c r="F9" i="2" s="1"/>
  <c r="E8" i="2"/>
  <c r="D8" i="2"/>
  <c r="F8" i="2" s="1"/>
  <c r="E6" i="2"/>
  <c r="D6" i="2"/>
  <c r="F6" i="2" s="1"/>
  <c r="E5" i="2"/>
  <c r="D5" i="2"/>
  <c r="F5" i="2" s="1"/>
  <c r="E4" i="2"/>
  <c r="D4" i="2"/>
  <c r="F4" i="2" s="1"/>
  <c r="E3" i="2"/>
  <c r="D3" i="2"/>
  <c r="F3" i="2" s="1"/>
  <c r="I3" i="1"/>
</calcChain>
</file>

<file path=xl/sharedStrings.xml><?xml version="1.0" encoding="utf-8"?>
<sst xmlns="http://schemas.openxmlformats.org/spreadsheetml/2006/main" count="1889" uniqueCount="737">
  <si>
    <t>No</t>
  </si>
  <si>
    <t>Well</t>
  </si>
  <si>
    <t>Well Type</t>
  </si>
  <si>
    <t>Formation</t>
  </si>
  <si>
    <t>Sand</t>
  </si>
  <si>
    <t>Sand Interval</t>
  </si>
  <si>
    <t>Net Pay (MD-ft)</t>
  </si>
  <si>
    <t>Net Pay (TVD-ft)</t>
  </si>
  <si>
    <t>Status</t>
  </si>
  <si>
    <t>Priority Status</t>
  </si>
  <si>
    <t>%WC</t>
  </si>
  <si>
    <t>Date</t>
  </si>
  <si>
    <t>Noted</t>
  </si>
  <si>
    <t>Recommendation Solution</t>
  </si>
  <si>
    <t>Kelok-00002</t>
  </si>
  <si>
    <t>Directional</t>
  </si>
  <si>
    <t>Menggala</t>
  </si>
  <si>
    <t>3065-3092</t>
  </si>
  <si>
    <t>NZBP</t>
  </si>
  <si>
    <t>DRES 29-125 ohm</t>
  </si>
  <si>
    <t>3134-3140</t>
  </si>
  <si>
    <t>Open</t>
  </si>
  <si>
    <t>Upper Pematang</t>
  </si>
  <si>
    <t>4760-4775</t>
  </si>
  <si>
    <t>Closed</t>
  </si>
  <si>
    <t>Pematang</t>
  </si>
  <si>
    <t>4802-4814</t>
  </si>
  <si>
    <t>4804-4810, Not NZBP</t>
  </si>
  <si>
    <t>5005-5037</t>
  </si>
  <si>
    <t>5520-5540</t>
  </si>
  <si>
    <t>5634-5664</t>
  </si>
  <si>
    <t>5718-5739</t>
  </si>
  <si>
    <t>DRES 19-151 ohm</t>
  </si>
  <si>
    <t>5940-5980</t>
  </si>
  <si>
    <t>Kelok-00007</t>
  </si>
  <si>
    <t>3140-3176</t>
  </si>
  <si>
    <t>5138-5202</t>
  </si>
  <si>
    <t>Sand Body</t>
  </si>
  <si>
    <t>5216-5247</t>
  </si>
  <si>
    <t>DRES 11-13 ohm</t>
  </si>
  <si>
    <t>Kelok-00008</t>
  </si>
  <si>
    <t>3360-3366</t>
  </si>
  <si>
    <t>Sand Body 20 ft(not perforated)</t>
  </si>
  <si>
    <t>3405-3411</t>
  </si>
  <si>
    <t>DRES 15-38 ohm</t>
  </si>
  <si>
    <t>3440-3455</t>
  </si>
  <si>
    <t>DRES 50-63 ohm</t>
  </si>
  <si>
    <t>Kelok-00009</t>
  </si>
  <si>
    <t>3144-3148</t>
  </si>
  <si>
    <t>3202-3215</t>
  </si>
  <si>
    <t>DRES 17-30 ohm</t>
  </si>
  <si>
    <t>Kopar-00011</t>
  </si>
  <si>
    <t>Plugged and abandon well</t>
  </si>
  <si>
    <t>Kopar-00013</t>
  </si>
  <si>
    <t>Bekasap</t>
  </si>
  <si>
    <t>4489-4530</t>
  </si>
  <si>
    <t>DRES 4-7 ohm</t>
  </si>
  <si>
    <t>4580-4596</t>
  </si>
  <si>
    <t>4596-4604</t>
  </si>
  <si>
    <t>4630-4638</t>
  </si>
  <si>
    <t>4638-4650</t>
  </si>
  <si>
    <t>Bangko</t>
  </si>
  <si>
    <t>4850-4856</t>
  </si>
  <si>
    <t>4856-4861</t>
  </si>
  <si>
    <t>5003-5011</t>
  </si>
  <si>
    <t>5088-5102</t>
  </si>
  <si>
    <t>5338-5345</t>
  </si>
  <si>
    <t>5352-5358</t>
  </si>
  <si>
    <t>5388-5400</t>
  </si>
  <si>
    <t>5541-5548</t>
  </si>
  <si>
    <t>Kopar-00014</t>
  </si>
  <si>
    <t>4958-4963</t>
  </si>
  <si>
    <t>DRES 9-12</t>
  </si>
  <si>
    <t>4974-4988</t>
  </si>
  <si>
    <t>5010-5023</t>
  </si>
  <si>
    <t>5032-5042</t>
  </si>
  <si>
    <t>5236-5244</t>
  </si>
  <si>
    <t>5470-5475</t>
  </si>
  <si>
    <t>5479-5482</t>
  </si>
  <si>
    <t>5567-5582</t>
  </si>
  <si>
    <t>5593 -5597</t>
  </si>
  <si>
    <t>5601-5606</t>
  </si>
  <si>
    <t>5610-5614</t>
  </si>
  <si>
    <t>Kopar-00021</t>
  </si>
  <si>
    <t>4256-4270</t>
  </si>
  <si>
    <t>p.grad 0.398</t>
  </si>
  <si>
    <t>4290-4299</t>
  </si>
  <si>
    <t>4319-4326</t>
  </si>
  <si>
    <t>4333-4354</t>
  </si>
  <si>
    <t>p.grad 0.272</t>
  </si>
  <si>
    <t>4376-4410</t>
  </si>
  <si>
    <t>p.grad 0.36</t>
  </si>
  <si>
    <t>4500-4509</t>
  </si>
  <si>
    <t>4516-4520</t>
  </si>
  <si>
    <t>4656-4664</t>
  </si>
  <si>
    <t>4742-4752</t>
  </si>
  <si>
    <t>4769-4774</t>
  </si>
  <si>
    <t>4796-4800</t>
  </si>
  <si>
    <t>5217-5228</t>
  </si>
  <si>
    <t>5234-5240</t>
  </si>
  <si>
    <t>5307-5324</t>
  </si>
  <si>
    <t>5350-5355</t>
  </si>
  <si>
    <t>Kopar-00024</t>
  </si>
  <si>
    <t>Vertical</t>
  </si>
  <si>
    <t>4424-4461</t>
  </si>
  <si>
    <t>RFT P.Grad 0.352 &amp; 0.369 psi/ft</t>
  </si>
  <si>
    <t>4629-4642</t>
  </si>
  <si>
    <t>4632-4643</t>
  </si>
  <si>
    <t>4701-4705</t>
  </si>
  <si>
    <t>RFT P.Grad 0.232 psi/ft</t>
  </si>
  <si>
    <t>4845-4848</t>
  </si>
  <si>
    <t>4848-4861</t>
  </si>
  <si>
    <t>DRES 17-42 ohm</t>
  </si>
  <si>
    <t>4912-4929</t>
  </si>
  <si>
    <t>5433-5437</t>
  </si>
  <si>
    <t>Kopar-00031</t>
  </si>
  <si>
    <t>Horizontal</t>
  </si>
  <si>
    <t>4674-4698</t>
  </si>
  <si>
    <t>4568-4577; 4594-4604</t>
  </si>
  <si>
    <t>4877-4887</t>
  </si>
  <si>
    <t>4935-4945</t>
  </si>
  <si>
    <t>5002-5022</t>
  </si>
  <si>
    <t>5212-5227</t>
  </si>
  <si>
    <t>5359-5383</t>
  </si>
  <si>
    <t>5456-5469</t>
  </si>
  <si>
    <t>6178-7492</t>
  </si>
  <si>
    <t>Net Pay TVD =21 ft</t>
  </si>
  <si>
    <t>run C/O log,  NZBP 120 ft</t>
  </si>
  <si>
    <t>Puncak-00032</t>
  </si>
  <si>
    <t>Duri</t>
  </si>
  <si>
    <t> </t>
  </si>
  <si>
    <t>1266-1294</t>
  </si>
  <si>
    <t>1577-1584</t>
  </si>
  <si>
    <t>2058-2064</t>
  </si>
  <si>
    <t>2142-2146</t>
  </si>
  <si>
    <t>2160-2175</t>
  </si>
  <si>
    <t>Kopar-00033</t>
  </si>
  <si>
    <t>4652-4665</t>
  </si>
  <si>
    <t>4675-4687</t>
  </si>
  <si>
    <t>4879-4888</t>
  </si>
  <si>
    <t>5116-5126</t>
  </si>
  <si>
    <t>5134-5148</t>
  </si>
  <si>
    <t>5170-5176</t>
  </si>
  <si>
    <t>4652-4700</t>
  </si>
  <si>
    <t>Kopar-00039</t>
  </si>
  <si>
    <t>4910-4920</t>
  </si>
  <si>
    <t>No masterlog data</t>
  </si>
  <si>
    <t>4920-4927</t>
  </si>
  <si>
    <t>5014-5022</t>
  </si>
  <si>
    <t>5670-6850</t>
  </si>
  <si>
    <t>lateral section</t>
  </si>
  <si>
    <t>Minas-00526</t>
  </si>
  <si>
    <t>2287-2296</t>
  </si>
  <si>
    <t>No NZBP</t>
  </si>
  <si>
    <t>2318-2335</t>
  </si>
  <si>
    <t>2341-2344</t>
  </si>
  <si>
    <t>2356-2361</t>
  </si>
  <si>
    <t>Minas-01255</t>
  </si>
  <si>
    <t>A1</t>
  </si>
  <si>
    <t>2490-2502</t>
  </si>
  <si>
    <t>2505-2512</t>
  </si>
  <si>
    <t>2526-2532</t>
  </si>
  <si>
    <t>2536-2544</t>
  </si>
  <si>
    <t>A2</t>
  </si>
  <si>
    <t>2564-2569</t>
  </si>
  <si>
    <t>2574-2584</t>
  </si>
  <si>
    <t>2594-2608</t>
  </si>
  <si>
    <t>B2</t>
  </si>
  <si>
    <t>2643-2646</t>
  </si>
  <si>
    <t>2655-2658</t>
  </si>
  <si>
    <t>2574-2583</t>
  </si>
  <si>
    <t>DRES 5-12 ohm</t>
  </si>
  <si>
    <t>DRES 12-16 ohm</t>
  </si>
  <si>
    <t>Minas-01258</t>
  </si>
  <si>
    <t>2286-2304</t>
  </si>
  <si>
    <t>DRES 1 ohm</t>
  </si>
  <si>
    <t>2314-2319</t>
  </si>
  <si>
    <t>2474-2479</t>
  </si>
  <si>
    <t>2479-2482</t>
  </si>
  <si>
    <t>2482-2486</t>
  </si>
  <si>
    <t>2494-2499</t>
  </si>
  <si>
    <t>2499-2508</t>
  </si>
  <si>
    <t>2536-2538</t>
  </si>
  <si>
    <t>2538-2540</t>
  </si>
  <si>
    <t>2548-2556</t>
  </si>
  <si>
    <t>2564-2570</t>
  </si>
  <si>
    <t>2574-2586</t>
  </si>
  <si>
    <t>Minas-01903</t>
  </si>
  <si>
    <t>2574-2580</t>
  </si>
  <si>
    <t>2586-2596</t>
  </si>
  <si>
    <t>DRES 4-6 ohm</t>
  </si>
  <si>
    <t>2632-2637</t>
  </si>
  <si>
    <t>2637-2656</t>
  </si>
  <si>
    <t>DRES 4-9 ohm</t>
  </si>
  <si>
    <t>Minas-01929</t>
  </si>
  <si>
    <t>2538-2569</t>
  </si>
  <si>
    <t>DRES 3-19 ohm</t>
  </si>
  <si>
    <t>2638-2641</t>
  </si>
  <si>
    <t>2596-2601</t>
  </si>
  <si>
    <t>2602-2605</t>
  </si>
  <si>
    <t>Minas-01952</t>
  </si>
  <si>
    <t>2447-2451</t>
  </si>
  <si>
    <t>2490-2494</t>
  </si>
  <si>
    <t>PEBO-00002</t>
  </si>
  <si>
    <t>A</t>
  </si>
  <si>
    <t>2863-2888</t>
  </si>
  <si>
    <t>B</t>
  </si>
  <si>
    <t>2930-2945</t>
  </si>
  <si>
    <t>C</t>
  </si>
  <si>
    <t>2990-3040</t>
  </si>
  <si>
    <t>3060-3061</t>
  </si>
  <si>
    <t>D</t>
  </si>
  <si>
    <t>3159-3161</t>
  </si>
  <si>
    <t>E</t>
  </si>
  <si>
    <t>3180-3200</t>
  </si>
  <si>
    <t>3220-3222</t>
  </si>
  <si>
    <t>F</t>
  </si>
  <si>
    <t>3234-3258</t>
  </si>
  <si>
    <t>3276-3278</t>
  </si>
  <si>
    <t>G</t>
  </si>
  <si>
    <t>3296-3306</t>
  </si>
  <si>
    <t>3330-3340</t>
  </si>
  <si>
    <t>H</t>
  </si>
  <si>
    <t>3382-3402</t>
  </si>
  <si>
    <t>I</t>
  </si>
  <si>
    <t>3430-3453</t>
  </si>
  <si>
    <t>3502-3510</t>
  </si>
  <si>
    <t>3530-3548</t>
  </si>
  <si>
    <t>PEBO-00003</t>
  </si>
  <si>
    <t>4960-4961</t>
  </si>
  <si>
    <t>5015-5026</t>
  </si>
  <si>
    <t>5039-5040</t>
  </si>
  <si>
    <t>5044-5050</t>
  </si>
  <si>
    <t>5060-5076</t>
  </si>
  <si>
    <t>5084-5085</t>
  </si>
  <si>
    <t>5096-5112</t>
  </si>
  <si>
    <t>5114-5120</t>
  </si>
  <si>
    <t>5135-5136</t>
  </si>
  <si>
    <t>PEBO-00018</t>
  </si>
  <si>
    <t>4681-4697</t>
  </si>
  <si>
    <t>DRES 5-7 ohm</t>
  </si>
  <si>
    <t>4717-4720</t>
  </si>
  <si>
    <t>4779-4789</t>
  </si>
  <si>
    <t>DRES 6-7 ohm</t>
  </si>
  <si>
    <t>5010 up</t>
  </si>
  <si>
    <t>5000-5015</t>
  </si>
  <si>
    <t>5010 lo</t>
  </si>
  <si>
    <t>5072-5078</t>
  </si>
  <si>
    <t>5104-5118</t>
  </si>
  <si>
    <t>5163-5172</t>
  </si>
  <si>
    <t>5200-5204</t>
  </si>
  <si>
    <t>5288-5298</t>
  </si>
  <si>
    <t>5298-5310</t>
  </si>
  <si>
    <t>5471-5480</t>
  </si>
  <si>
    <t>PEBO-00023</t>
  </si>
  <si>
    <t>4787-4702</t>
  </si>
  <si>
    <t>5006-5022</t>
  </si>
  <si>
    <t>5064-5072</t>
  </si>
  <si>
    <t>5195-5200</t>
  </si>
  <si>
    <t>5295-5315</t>
  </si>
  <si>
    <t>5390-5404</t>
  </si>
  <si>
    <t>5470-5498</t>
  </si>
  <si>
    <t>Pungut-00007</t>
  </si>
  <si>
    <t>1080-1082</t>
  </si>
  <si>
    <t>Need see pungut 13</t>
  </si>
  <si>
    <t>1174-1184</t>
  </si>
  <si>
    <t>2852-2870</t>
  </si>
  <si>
    <t>2894-2905</t>
  </si>
  <si>
    <t>2927-2942</t>
  </si>
  <si>
    <t>Pungut-00009</t>
  </si>
  <si>
    <t>2995-3005</t>
  </si>
  <si>
    <t>3090-3096</t>
  </si>
  <si>
    <t>Puncak-00006</t>
  </si>
  <si>
    <t>1258-1269</t>
  </si>
  <si>
    <t>1270-1272</t>
  </si>
  <si>
    <t>2113-2120</t>
  </si>
  <si>
    <t>2121-2124</t>
  </si>
  <si>
    <t>2138-2148</t>
  </si>
  <si>
    <t>2149-2152</t>
  </si>
  <si>
    <t>Puncak-00010</t>
  </si>
  <si>
    <t>1268-2174</t>
  </si>
  <si>
    <t>2104-2110</t>
  </si>
  <si>
    <t>Puncak-00022</t>
  </si>
  <si>
    <t>1267-1272</t>
  </si>
  <si>
    <t>1344-1352</t>
  </si>
  <si>
    <t>1492-1501</t>
  </si>
  <si>
    <t>1683-1691</t>
  </si>
  <si>
    <t>1982-1996</t>
  </si>
  <si>
    <t>2080-2088</t>
  </si>
  <si>
    <t>Puncak-00023</t>
  </si>
  <si>
    <t>1262-1280</t>
  </si>
  <si>
    <t>1280-1284</t>
  </si>
  <si>
    <t>1312-1326</t>
  </si>
  <si>
    <t>1334-1342</t>
  </si>
  <si>
    <t>1354-1358</t>
  </si>
  <si>
    <t>1396-1400</t>
  </si>
  <si>
    <t>1943-1948</t>
  </si>
  <si>
    <t>2038-2044</t>
  </si>
  <si>
    <t>2050-2056</t>
  </si>
  <si>
    <t>Puncak-00031</t>
  </si>
  <si>
    <t>1269-1273</t>
  </si>
  <si>
    <t>1546-1555</t>
  </si>
  <si>
    <t>2018-2025</t>
  </si>
  <si>
    <t>2031-2035</t>
  </si>
  <si>
    <t>2070-2078</t>
  </si>
  <si>
    <t>2114-2120</t>
  </si>
  <si>
    <t>2131-2136</t>
  </si>
  <si>
    <t>Puncak-00033</t>
  </si>
  <si>
    <t>2011-2013</t>
  </si>
  <si>
    <t>2065-2067</t>
  </si>
  <si>
    <t>2102-2108</t>
  </si>
  <si>
    <t>2128-2131</t>
  </si>
  <si>
    <t>Bangko-00014</t>
  </si>
  <si>
    <t>1633-1663</t>
  </si>
  <si>
    <t>1725-1760</t>
  </si>
  <si>
    <t>1775-1779</t>
  </si>
  <si>
    <t>1785-1797</t>
  </si>
  <si>
    <t>Bangko-00149</t>
  </si>
  <si>
    <t>No well file (1861-1873) High resistivity zone 15-156 ohm meter and , (1922-1956) middle resistivity zone 15-30 ohm mtr</t>
  </si>
  <si>
    <t>Benar-00010</t>
  </si>
  <si>
    <t>2320-2340</t>
  </si>
  <si>
    <t>2348-2362</t>
  </si>
  <si>
    <t>2370-2390</t>
  </si>
  <si>
    <t>Balam SE-00020</t>
  </si>
  <si>
    <t>3280-3290</t>
  </si>
  <si>
    <t>Bekasap So-00002</t>
  </si>
  <si>
    <t>3288-3294</t>
  </si>
  <si>
    <t>3320-3326</t>
  </si>
  <si>
    <t>3383-3389</t>
  </si>
  <si>
    <t>3482-3488</t>
  </si>
  <si>
    <t>3570-3575</t>
  </si>
  <si>
    <t>3583-3589</t>
  </si>
  <si>
    <t>3747-3757</t>
  </si>
  <si>
    <t>3825-3837</t>
  </si>
  <si>
    <t>3840-3855</t>
  </si>
  <si>
    <t>Candi-00006</t>
  </si>
  <si>
    <t>2687-2703</t>
  </si>
  <si>
    <t>no clear mark log (no NZBP)</t>
  </si>
  <si>
    <t>2726-2744</t>
  </si>
  <si>
    <t>2840-2865</t>
  </si>
  <si>
    <t>3196-3204</t>
  </si>
  <si>
    <t>3221-3231</t>
  </si>
  <si>
    <t>3265-3272</t>
  </si>
  <si>
    <t>3284-3292</t>
  </si>
  <si>
    <t>3392-3400</t>
  </si>
  <si>
    <t>FAJAR-00002</t>
  </si>
  <si>
    <t>6316-6325</t>
  </si>
  <si>
    <t>Based on C O Log 1 dec 2008-3 phase saturation log</t>
  </si>
  <si>
    <t>7068-7074</t>
  </si>
  <si>
    <t>7380-7388</t>
  </si>
  <si>
    <t>7496-7506</t>
  </si>
  <si>
    <t>7528-7548</t>
  </si>
  <si>
    <t>7562-7574</t>
  </si>
  <si>
    <t>Gulamo-00001</t>
  </si>
  <si>
    <t>4930-4956</t>
  </si>
  <si>
    <t>4960-4968</t>
  </si>
  <si>
    <t>4978-4988</t>
  </si>
  <si>
    <t>Proposed but no executed</t>
  </si>
  <si>
    <t>5040-5056</t>
  </si>
  <si>
    <t>5560-5566</t>
  </si>
  <si>
    <t>5788-5912</t>
  </si>
  <si>
    <t>5824-5845</t>
  </si>
  <si>
    <t>5880-5890</t>
  </si>
  <si>
    <t>5902-5908</t>
  </si>
  <si>
    <t>5968-5978</t>
  </si>
  <si>
    <t>6110-6130</t>
  </si>
  <si>
    <t>6200-6214</t>
  </si>
  <si>
    <t>6220-6230</t>
  </si>
  <si>
    <t>6230-6233</t>
  </si>
  <si>
    <t>6254-6262</t>
  </si>
  <si>
    <t>6352-6362</t>
  </si>
  <si>
    <t>6374-6384</t>
  </si>
  <si>
    <t>6442-6452</t>
  </si>
  <si>
    <t>6456-6468</t>
  </si>
  <si>
    <t>Gulamo-00002</t>
  </si>
  <si>
    <t>5118-5124</t>
  </si>
  <si>
    <t>5124-5126</t>
  </si>
  <si>
    <t>5156-5160</t>
  </si>
  <si>
    <t>5804-5812</t>
  </si>
  <si>
    <t>5812-5816</t>
  </si>
  <si>
    <t>5832-5840</t>
  </si>
  <si>
    <t>5840-5846</t>
  </si>
  <si>
    <t>6113-6119</t>
  </si>
  <si>
    <t>6128-6132</t>
  </si>
  <si>
    <t>6132-6139</t>
  </si>
  <si>
    <t>6146-6154</t>
  </si>
  <si>
    <t>6154-6161</t>
  </si>
  <si>
    <t>6198-6332</t>
  </si>
  <si>
    <t>Intan-00004</t>
  </si>
  <si>
    <t>2824-2832</t>
  </si>
  <si>
    <t>2842-2845</t>
  </si>
  <si>
    <t>2899-2910</t>
  </si>
  <si>
    <t>2910-2925</t>
  </si>
  <si>
    <t>2951-2988</t>
  </si>
  <si>
    <t>3000-3010</t>
  </si>
  <si>
    <t>3036-3042</t>
  </si>
  <si>
    <t>3053-3061</t>
  </si>
  <si>
    <t>3114-3120</t>
  </si>
  <si>
    <t>3174-3183</t>
  </si>
  <si>
    <t>3193-3199</t>
  </si>
  <si>
    <t>Jorang-00019</t>
  </si>
  <si>
    <t>4672-4682</t>
  </si>
  <si>
    <t>4692-4702</t>
  </si>
  <si>
    <t>4708-4714</t>
  </si>
  <si>
    <t>4893-4900</t>
  </si>
  <si>
    <t>4912-4920</t>
  </si>
  <si>
    <t>5079-5091</t>
  </si>
  <si>
    <t>5086-5094</t>
  </si>
  <si>
    <t>5125-5135</t>
  </si>
  <si>
    <t>5154-5160</t>
  </si>
  <si>
    <t>5172-5182</t>
  </si>
  <si>
    <t>5180-5188</t>
  </si>
  <si>
    <t>5198-5206</t>
  </si>
  <si>
    <t>5214-5222</t>
  </si>
  <si>
    <t>5228-5238</t>
  </si>
  <si>
    <t>5264-5268</t>
  </si>
  <si>
    <t>Jorang-00020</t>
  </si>
  <si>
    <t>4776-4788</t>
  </si>
  <si>
    <t>4808-4818</t>
  </si>
  <si>
    <t>5190-5200</t>
  </si>
  <si>
    <t>5152-5162</t>
  </si>
  <si>
    <t>5208-5230</t>
  </si>
  <si>
    <t>5238-5246</t>
  </si>
  <si>
    <t>Jorang-00025</t>
  </si>
  <si>
    <t>4678-4690</t>
  </si>
  <si>
    <t>4705-4718</t>
  </si>
  <si>
    <t>4725-4728</t>
  </si>
  <si>
    <t>5200-5218</t>
  </si>
  <si>
    <t>5220-5230</t>
  </si>
  <si>
    <t>5234-5238</t>
  </si>
  <si>
    <t>Kerang-00002</t>
  </si>
  <si>
    <t>2833-2845</t>
  </si>
  <si>
    <t>possible oil as of upper sand tested 245 bfpd, 70% WC but more tight</t>
  </si>
  <si>
    <t>2718-2732</t>
  </si>
  <si>
    <t>2806-2818</t>
  </si>
  <si>
    <t>3416-3426</t>
  </si>
  <si>
    <t>3440-3450</t>
  </si>
  <si>
    <t>3586-3600</t>
  </si>
  <si>
    <t>3628-3640</t>
  </si>
  <si>
    <t>3686-3696</t>
  </si>
  <si>
    <t>Kerang-00009</t>
  </si>
  <si>
    <t>728-730</t>
  </si>
  <si>
    <t>1100-1123</t>
  </si>
  <si>
    <t>2890-2896</t>
  </si>
  <si>
    <t>3104-3114</t>
  </si>
  <si>
    <t>3387-3390</t>
  </si>
  <si>
    <t>3636-3648</t>
  </si>
  <si>
    <t>3700-3706</t>
  </si>
  <si>
    <t>3750-3756</t>
  </si>
  <si>
    <t>3950-3975</t>
  </si>
  <si>
    <t>Libo-00012</t>
  </si>
  <si>
    <t>5350 up</t>
  </si>
  <si>
    <t>5458-5461</t>
  </si>
  <si>
    <t>5464-5472</t>
  </si>
  <si>
    <t>5474-5480</t>
  </si>
  <si>
    <t>5486-5495</t>
  </si>
  <si>
    <t>5350 lo</t>
  </si>
  <si>
    <t>5501-5508</t>
  </si>
  <si>
    <t>5510-5515</t>
  </si>
  <si>
    <t>5518-5522</t>
  </si>
  <si>
    <t>Libo-00016</t>
  </si>
  <si>
    <t>5496-5502</t>
  </si>
  <si>
    <t>5528-5538</t>
  </si>
  <si>
    <t>5538-5552</t>
  </si>
  <si>
    <t>Libo SE-00046</t>
  </si>
  <si>
    <t>5684-5694</t>
  </si>
  <si>
    <t>5863-5867</t>
  </si>
  <si>
    <t>5874-5882</t>
  </si>
  <si>
    <t>5896-5900</t>
  </si>
  <si>
    <t>5948-5956</t>
  </si>
  <si>
    <t>6003-6030</t>
  </si>
  <si>
    <t>6068-6078</t>
  </si>
  <si>
    <t>6040-6050</t>
  </si>
  <si>
    <t>Oki-00003</t>
  </si>
  <si>
    <t>4528-4536</t>
  </si>
  <si>
    <t>4668-4680</t>
  </si>
  <si>
    <t>4767-4800</t>
  </si>
  <si>
    <t>5134-5140</t>
  </si>
  <si>
    <t>5260-5266</t>
  </si>
  <si>
    <t>Brown shale</t>
  </si>
  <si>
    <t>6059-6066</t>
  </si>
  <si>
    <t>6100-6106</t>
  </si>
  <si>
    <t>6126-6130</t>
  </si>
  <si>
    <t>6140-6150</t>
  </si>
  <si>
    <t>6190-6195</t>
  </si>
  <si>
    <t>6210-6214</t>
  </si>
  <si>
    <t>6256-6266</t>
  </si>
  <si>
    <t>6284-6294</t>
  </si>
  <si>
    <t>Pager-00006</t>
  </si>
  <si>
    <t>2776-2786</t>
  </si>
  <si>
    <t>3008-3018</t>
  </si>
  <si>
    <t>3080-3100</t>
  </si>
  <si>
    <t>3479-3489</t>
  </si>
  <si>
    <t>3518-3528</t>
  </si>
  <si>
    <t>3690-3700</t>
  </si>
  <si>
    <t>3965-3980</t>
  </si>
  <si>
    <t>4006-4018</t>
  </si>
  <si>
    <t>Pager-00013</t>
  </si>
  <si>
    <t>3150-3165</t>
  </si>
  <si>
    <t>3170-3180</t>
  </si>
  <si>
    <t>3390-3396</t>
  </si>
  <si>
    <t>3507-3515</t>
  </si>
  <si>
    <t>3530-3540</t>
  </si>
  <si>
    <t>3720-3730</t>
  </si>
  <si>
    <t>good  res</t>
  </si>
  <si>
    <t>3934-3940</t>
  </si>
  <si>
    <t>3954-3970</t>
  </si>
  <si>
    <t>3970-3974</t>
  </si>
  <si>
    <t>3986-4005</t>
  </si>
  <si>
    <t>4008-4010</t>
  </si>
  <si>
    <t>Pena-00005</t>
  </si>
  <si>
    <t>No final well report</t>
  </si>
  <si>
    <t>Petani-00049</t>
  </si>
  <si>
    <t>3637-3650</t>
  </si>
  <si>
    <t>3670-3698</t>
  </si>
  <si>
    <t>3721-3731</t>
  </si>
  <si>
    <t>3956-3966</t>
  </si>
  <si>
    <t>3978-3988</t>
  </si>
  <si>
    <t>LS paker (Linier Seal Packer)</t>
  </si>
  <si>
    <t>3996-4000</t>
  </si>
  <si>
    <t>4285-4293</t>
  </si>
  <si>
    <t>4316-4324</t>
  </si>
  <si>
    <t>4353-4364</t>
  </si>
  <si>
    <t>4946-4951</t>
  </si>
  <si>
    <t>Petapahan-00024</t>
  </si>
  <si>
    <t>5200-5210</t>
  </si>
  <si>
    <t>5296-5316</t>
  </si>
  <si>
    <t>Petapahan-00049</t>
  </si>
  <si>
    <t>4038-4050</t>
  </si>
  <si>
    <t>4154-4164</t>
  </si>
  <si>
    <t>4254-4292</t>
  </si>
  <si>
    <t>4359-4361</t>
  </si>
  <si>
    <t>4396-4401</t>
  </si>
  <si>
    <t>4430-4436</t>
  </si>
  <si>
    <t>4448-4452</t>
  </si>
  <si>
    <t>4466-4470</t>
  </si>
  <si>
    <t>4475-4478</t>
  </si>
  <si>
    <t>4486-4490</t>
  </si>
  <si>
    <t>Singa-00001</t>
  </si>
  <si>
    <t>Petani</t>
  </si>
  <si>
    <t>1120-1124</t>
  </si>
  <si>
    <t>Telisa</t>
  </si>
  <si>
    <t>1968-1978</t>
  </si>
  <si>
    <t>2027-2037</t>
  </si>
  <si>
    <t>2093-2103</t>
  </si>
  <si>
    <t>TOC</t>
  </si>
  <si>
    <t>2188-2193</t>
  </si>
  <si>
    <t>2540-2550</t>
  </si>
  <si>
    <t>2600-2610</t>
  </si>
  <si>
    <t>2650-2680</t>
  </si>
  <si>
    <t>Pemburu-00024</t>
  </si>
  <si>
    <t>1940 lo</t>
  </si>
  <si>
    <t>2010-2015</t>
  </si>
  <si>
    <t>2116-2126</t>
  </si>
  <si>
    <t>Duri-4043</t>
  </si>
  <si>
    <t>Rindu</t>
  </si>
  <si>
    <t>407-427</t>
  </si>
  <si>
    <t>429-440</t>
  </si>
  <si>
    <t>450-454</t>
  </si>
  <si>
    <t>Duri-4052</t>
  </si>
  <si>
    <t>322-334</t>
  </si>
  <si>
    <t>338-354</t>
  </si>
  <si>
    <t>356-366</t>
  </si>
  <si>
    <t>369-378</t>
  </si>
  <si>
    <t>Duri-4055</t>
  </si>
  <si>
    <t>412-427</t>
  </si>
  <si>
    <t>443-459</t>
  </si>
  <si>
    <t>469-471</t>
  </si>
  <si>
    <t>475-477</t>
  </si>
  <si>
    <t>Duri-4060</t>
  </si>
  <si>
    <t>355-364</t>
  </si>
  <si>
    <t>384-394</t>
  </si>
  <si>
    <t>412-423</t>
  </si>
  <si>
    <t>433-438</t>
  </si>
  <si>
    <t>Duri-4064</t>
  </si>
  <si>
    <t>346-364</t>
  </si>
  <si>
    <t>370-386</t>
  </si>
  <si>
    <t>391-396</t>
  </si>
  <si>
    <t>398-401</t>
  </si>
  <si>
    <t>406-411</t>
  </si>
  <si>
    <t>445-458</t>
  </si>
  <si>
    <t>460-463</t>
  </si>
  <si>
    <t>Duri-4072</t>
  </si>
  <si>
    <t>291-349</t>
  </si>
  <si>
    <t>357-364</t>
  </si>
  <si>
    <t>372-386</t>
  </si>
  <si>
    <t>Duri-4080</t>
  </si>
  <si>
    <t>291-315</t>
  </si>
  <si>
    <t>318-328</t>
  </si>
  <si>
    <t>339-343</t>
  </si>
  <si>
    <t>353-359</t>
  </si>
  <si>
    <t>Duri-4082</t>
  </si>
  <si>
    <t>284-292</t>
  </si>
  <si>
    <t>296-324</t>
  </si>
  <si>
    <t>326-344</t>
  </si>
  <si>
    <t>Duri-4084</t>
  </si>
  <si>
    <t>408-434</t>
  </si>
  <si>
    <t>438-442</t>
  </si>
  <si>
    <t>447-452</t>
  </si>
  <si>
    <t>461-465</t>
  </si>
  <si>
    <t>Duri-4091</t>
  </si>
  <si>
    <t>Duri-4133</t>
  </si>
  <si>
    <t>372-434</t>
  </si>
  <si>
    <t>Duri-4136</t>
  </si>
  <si>
    <t>397-402</t>
  </si>
  <si>
    <t>410-433</t>
  </si>
  <si>
    <t>438-443</t>
  </si>
  <si>
    <t>480-483</t>
  </si>
  <si>
    <t>492-497</t>
  </si>
  <si>
    <t>Duri-4185</t>
  </si>
  <si>
    <t>300-308</t>
  </si>
  <si>
    <t>312-318</t>
  </si>
  <si>
    <t>321-323</t>
  </si>
  <si>
    <t>Duri-4188</t>
  </si>
  <si>
    <t>335-339</t>
  </si>
  <si>
    <t>343-344</t>
  </si>
  <si>
    <t>348-350</t>
  </si>
  <si>
    <t>Duri-4199</t>
  </si>
  <si>
    <t>297-300</t>
  </si>
  <si>
    <t>313-328</t>
  </si>
  <si>
    <t>Duri-4206</t>
  </si>
  <si>
    <t>286-300</t>
  </si>
  <si>
    <t>382-397</t>
  </si>
  <si>
    <t>Duri-4212</t>
  </si>
  <si>
    <t>No perforation data</t>
  </si>
  <si>
    <t>Duri-4226</t>
  </si>
  <si>
    <t>309-319</t>
  </si>
  <si>
    <t>353-367</t>
  </si>
  <si>
    <t>402-413</t>
  </si>
  <si>
    <t>Duri-4233</t>
  </si>
  <si>
    <t>274-287</t>
  </si>
  <si>
    <t>352-357</t>
  </si>
  <si>
    <t>361-381</t>
  </si>
  <si>
    <t>Duri-4252</t>
  </si>
  <si>
    <t>292-307</t>
  </si>
  <si>
    <t>347-357</t>
  </si>
  <si>
    <t>374-377</t>
  </si>
  <si>
    <t>Duri-4256</t>
  </si>
  <si>
    <t>288-308</t>
  </si>
  <si>
    <t>338-358</t>
  </si>
  <si>
    <t>378-381</t>
  </si>
  <si>
    <t>Duri-4258</t>
  </si>
  <si>
    <t>310-330</t>
  </si>
  <si>
    <t>354-368</t>
  </si>
  <si>
    <t>372-377</t>
  </si>
  <si>
    <t>Duri-4282</t>
  </si>
  <si>
    <t>275-292</t>
  </si>
  <si>
    <t>296-298</t>
  </si>
  <si>
    <t>301-310</t>
  </si>
  <si>
    <t>336-345</t>
  </si>
  <si>
    <t>Duri-4285</t>
  </si>
  <si>
    <t>354-360</t>
  </si>
  <si>
    <t>362-380</t>
  </si>
  <si>
    <t>407-438</t>
  </si>
  <si>
    <t>Duri-4288</t>
  </si>
  <si>
    <t>273-280</t>
  </si>
  <si>
    <t>287-297</t>
  </si>
  <si>
    <t>342-354</t>
  </si>
  <si>
    <t>Duri-4290</t>
  </si>
  <si>
    <t>281-285</t>
  </si>
  <si>
    <t>290-300</t>
  </si>
  <si>
    <t>303-308</t>
  </si>
  <si>
    <t>312-317</t>
  </si>
  <si>
    <t>335-348</t>
  </si>
  <si>
    <t>352-362</t>
  </si>
  <si>
    <t>Duri-4317</t>
  </si>
  <si>
    <t>353-362</t>
  </si>
  <si>
    <t>376-381</t>
  </si>
  <si>
    <t>Duri-4319</t>
  </si>
  <si>
    <t>341-353</t>
  </si>
  <si>
    <t>361-367</t>
  </si>
  <si>
    <t>371-382</t>
  </si>
  <si>
    <t>390-393</t>
  </si>
  <si>
    <t>406-420</t>
  </si>
  <si>
    <t>Duri-4323</t>
  </si>
  <si>
    <t>643-646</t>
  </si>
  <si>
    <t>654-674</t>
  </si>
  <si>
    <t>679-681</t>
  </si>
  <si>
    <t>696-716</t>
  </si>
  <si>
    <t>720-726</t>
  </si>
  <si>
    <t>Duri-4332</t>
  </si>
  <si>
    <t>287-309</t>
  </si>
  <si>
    <t>Duri-4831</t>
  </si>
  <si>
    <t>Duri-4862</t>
  </si>
  <si>
    <t>364-384</t>
  </si>
  <si>
    <t>399-406</t>
  </si>
  <si>
    <t>Duri-4864</t>
  </si>
  <si>
    <t>387-391</t>
  </si>
  <si>
    <t>395-418</t>
  </si>
  <si>
    <t>433-436</t>
  </si>
  <si>
    <t>Duri-4867</t>
  </si>
  <si>
    <t>396-414</t>
  </si>
  <si>
    <t>418-431</t>
  </si>
  <si>
    <t>Duri-4875</t>
  </si>
  <si>
    <t>360-376</t>
  </si>
  <si>
    <t>Duri-5060</t>
  </si>
  <si>
    <t>291-300</t>
  </si>
  <si>
    <t>304-316</t>
  </si>
  <si>
    <t>318-330</t>
  </si>
  <si>
    <t>334-352</t>
  </si>
  <si>
    <t>Duri-5106</t>
  </si>
  <si>
    <t>478-485</t>
  </si>
  <si>
    <t>489-499</t>
  </si>
  <si>
    <t>499-510</t>
  </si>
  <si>
    <t>520-526</t>
  </si>
  <si>
    <t>Duri-5160</t>
  </si>
  <si>
    <t>282-307</t>
  </si>
  <si>
    <t>311-317</t>
  </si>
  <si>
    <t>317-327</t>
  </si>
  <si>
    <t>327-337</t>
  </si>
  <si>
    <t>337-347</t>
  </si>
  <si>
    <t>356-365</t>
  </si>
  <si>
    <t>381-387</t>
  </si>
  <si>
    <t>Duri-5175</t>
  </si>
  <si>
    <t>300-307</t>
  </si>
  <si>
    <t>311-327</t>
  </si>
  <si>
    <t>328-337</t>
  </si>
  <si>
    <t>341-358</t>
  </si>
  <si>
    <t>Duri-5219</t>
  </si>
  <si>
    <t>674-684</t>
  </si>
  <si>
    <t>714-716</t>
  </si>
  <si>
    <t>720-724</t>
  </si>
  <si>
    <t>778-782</t>
  </si>
  <si>
    <t>Duri05227</t>
  </si>
  <si>
    <t>700-708</t>
  </si>
  <si>
    <t>Duri05231</t>
  </si>
  <si>
    <t>668-672</t>
  </si>
  <si>
    <t>710-720</t>
  </si>
  <si>
    <t>760-766</t>
  </si>
  <si>
    <t>791-796</t>
  </si>
  <si>
    <t>Well Name</t>
  </si>
  <si>
    <t>All zone</t>
  </si>
  <si>
    <t>New Zone</t>
  </si>
  <si>
    <t>Existing Zone</t>
  </si>
  <si>
    <t>Kopar-00032</t>
  </si>
  <si>
    <t>Duri-5227</t>
  </si>
  <si>
    <t>Duri-5231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</si>
</sst>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8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1"/>
      <name val="Arial"/>
    </font>
    <font>
      <sz val="11"/>
      <color theme="0"/>
      <name val="Arial"/>
    </font>
    <font>
      <sz val="11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4" borderId="0" xfId="0" applyFill="1"/>
    <xf numFmtId="0" fontId="0" fillId="7" borderId="0" xfId="0" applyFill="1"/>
    <xf numFmtId="0" fontId="3" fillId="0" borderId="1" xfId="0" applyFont="1" applyBorder="1"/>
    <xf numFmtId="0" fontId="3" fillId="3" borderId="1" xfId="0" applyFont="1" applyFill="1" applyBorder="1"/>
    <xf numFmtId="0" fontId="2" fillId="0" borderId="1" xfId="0" applyFont="1" applyBorder="1"/>
    <xf numFmtId="0" fontId="3" fillId="4" borderId="1" xfId="0" applyFont="1" applyFill="1" applyBorder="1"/>
    <xf numFmtId="0" fontId="3" fillId="2" borderId="1" xfId="0" applyFont="1" applyFill="1" applyBorder="1"/>
    <xf numFmtId="0" fontId="3" fillId="0" borderId="1" xfId="0" applyFont="1" applyBorder="1" applyAlignment="1">
      <alignment horizontal="right" vertical="center"/>
    </xf>
    <xf numFmtId="164" fontId="3" fillId="0" borderId="1" xfId="0" applyNumberFormat="1" applyFont="1" applyBorder="1"/>
    <xf numFmtId="0" fontId="4" fillId="6" borderId="1" xfId="0" applyFont="1" applyFill="1" applyBorder="1"/>
    <xf numFmtId="164" fontId="4" fillId="6" borderId="1" xfId="0" applyNumberFormat="1" applyFont="1" applyFill="1" applyBorder="1"/>
    <xf numFmtId="0" fontId="5" fillId="0" borderId="1" xfId="0" applyFont="1" applyBorder="1"/>
    <xf numFmtId="0" fontId="5" fillId="3" borderId="1" xfId="0" applyFont="1" applyFill="1" applyBorder="1"/>
    <xf numFmtId="0" fontId="5" fillId="4" borderId="1" xfId="0" applyFont="1" applyFill="1" applyBorder="1"/>
    <xf numFmtId="0" fontId="3" fillId="5" borderId="1" xfId="0" applyFont="1" applyFill="1" applyBorder="1"/>
    <xf numFmtId="0" fontId="7" fillId="0" borderId="1" xfId="0" applyFont="1" applyBorder="1"/>
    <xf numFmtId="0" fontId="7" fillId="8" borderId="1" xfId="0" applyFont="1" applyFill="1" applyBorder="1"/>
    <xf numFmtId="0" fontId="7" fillId="4" borderId="1" xfId="0" applyFont="1" applyFill="1" applyBorder="1"/>
    <xf numFmtId="0" fontId="7" fillId="9" borderId="1" xfId="0" applyFont="1" applyFill="1" applyBorder="1"/>
    <xf numFmtId="0" fontId="7" fillId="10" borderId="1" xfId="0" applyFont="1" applyFill="1" applyBorder="1"/>
    <xf numFmtId="2" fontId="3" fillId="0" borderId="1" xfId="0" applyNumberFormat="1" applyFont="1" applyBorder="1"/>
    <xf numFmtId="17" fontId="3" fillId="0" borderId="1" xfId="0" applyNumberFormat="1" applyFont="1" applyBorder="1"/>
    <xf numFmtId="0" fontId="6" fillId="6" borderId="1" xfId="0" applyFont="1" applyFill="1" applyBorder="1"/>
    <xf numFmtId="9" fontId="3" fillId="0" borderId="1" xfId="0" applyNumberFormat="1" applyFont="1" applyBorder="1"/>
    <xf numFmtId="0" fontId="3" fillId="11" borderId="1" xfId="0" applyFont="1" applyFill="1" applyBorder="1"/>
    <xf numFmtId="0" fontId="3" fillId="11" borderId="1" xfId="0" applyFont="1" applyFill="1" applyBorder="1" applyAlignment="1">
      <alignment vertical="center"/>
    </xf>
    <xf numFmtId="0" fontId="4" fillId="11" borderId="1" xfId="0" applyFont="1" applyFill="1" applyBorder="1"/>
    <xf numFmtId="0" fontId="3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8E588-4D1F-4A87-9BE7-43BAD2797435}">
  <dimension ref="B2:O562"/>
  <sheetViews>
    <sheetView tabSelected="1" zoomScale="72" zoomScaleNormal="115" workbookViewId="0">
      <pane ySplit="2" topLeftCell="A406" activePane="bottomLeft" state="frozen"/>
      <selection pane="bottomLeft" activeCell="H420" sqref="H420"/>
    </sheetView>
  </sheetViews>
  <sheetFormatPr defaultColWidth="8.7109375" defaultRowHeight="14.1"/>
  <cols>
    <col min="1" max="1" width="8.7109375" style="2"/>
    <col min="2" max="2" width="4.42578125" style="2" customWidth="1"/>
    <col min="3" max="3" width="23" style="2" customWidth="1"/>
    <col min="4" max="4" width="12.28515625" style="2" bestFit="1" customWidth="1"/>
    <col min="5" max="5" width="15.7109375" style="2" bestFit="1" customWidth="1"/>
    <col min="6" max="6" width="8" style="2" bestFit="1" customWidth="1"/>
    <col min="7" max="8" width="18.5703125" style="2" bestFit="1" customWidth="1"/>
    <col min="9" max="9" width="18.42578125" style="2" hidden="1" customWidth="1"/>
    <col min="10" max="10" width="9.140625" style="2" bestFit="1" customWidth="1"/>
    <col min="11" max="11" width="9.7109375" style="2" customWidth="1"/>
    <col min="12" max="12" width="8.42578125" style="2" bestFit="1" customWidth="1"/>
    <col min="13" max="13" width="11.140625" style="2" bestFit="1" customWidth="1"/>
    <col min="14" max="14" width="66.140625" style="2" customWidth="1"/>
    <col min="15" max="15" width="46.7109375" style="2" customWidth="1"/>
    <col min="16" max="16" width="5.85546875" style="2" bestFit="1" customWidth="1"/>
    <col min="17" max="16384" width="8.7109375" style="2"/>
  </cols>
  <sheetData>
    <row r="2" spans="2:15" s="1" customFormat="1">
      <c r="B2" s="8" t="s">
        <v>0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6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</row>
    <row r="3" spans="2:15">
      <c r="B3" s="6">
        <v>1</v>
      </c>
      <c r="C3" s="6" t="s">
        <v>14</v>
      </c>
      <c r="D3" s="6" t="s">
        <v>15</v>
      </c>
      <c r="E3" s="6" t="s">
        <v>16</v>
      </c>
      <c r="F3" s="6"/>
      <c r="G3" s="6" t="s">
        <v>17</v>
      </c>
      <c r="H3" s="9">
        <v>27</v>
      </c>
      <c r="I3" s="9">
        <f>H3</f>
        <v>27</v>
      </c>
      <c r="J3" s="9" t="s">
        <v>18</v>
      </c>
      <c r="K3" s="6"/>
      <c r="L3" s="6"/>
      <c r="M3" s="6"/>
      <c r="N3" s="6" t="s">
        <v>19</v>
      </c>
      <c r="O3" s="6"/>
    </row>
    <row r="4" spans="2:15">
      <c r="B4" s="6"/>
      <c r="C4" s="6"/>
      <c r="D4" s="6"/>
      <c r="E4" s="6" t="s">
        <v>16</v>
      </c>
      <c r="F4" s="6">
        <v>3120</v>
      </c>
      <c r="G4" s="6" t="s">
        <v>20</v>
      </c>
      <c r="H4" s="6">
        <v>6</v>
      </c>
      <c r="I4" s="6"/>
      <c r="J4" s="7" t="s">
        <v>21</v>
      </c>
      <c r="K4" s="6"/>
      <c r="L4" s="6"/>
      <c r="M4" s="6"/>
      <c r="N4" s="6"/>
      <c r="O4" s="6"/>
    </row>
    <row r="5" spans="2:15">
      <c r="B5" s="6"/>
      <c r="C5" s="6"/>
      <c r="D5" s="6"/>
      <c r="E5" s="6" t="s">
        <v>22</v>
      </c>
      <c r="F5" s="6">
        <v>4750</v>
      </c>
      <c r="G5" s="6" t="s">
        <v>23</v>
      </c>
      <c r="H5" s="6">
        <v>15</v>
      </c>
      <c r="I5" s="6"/>
      <c r="J5" s="10" t="s">
        <v>24</v>
      </c>
      <c r="K5" s="6"/>
      <c r="L5" s="6">
        <v>93</v>
      </c>
      <c r="M5" s="6"/>
      <c r="N5" s="6"/>
      <c r="O5" s="6"/>
    </row>
    <row r="6" spans="2:15">
      <c r="B6" s="6"/>
      <c r="C6" s="6"/>
      <c r="D6" s="6"/>
      <c r="E6" s="6" t="s">
        <v>25</v>
      </c>
      <c r="F6" s="6">
        <v>4750</v>
      </c>
      <c r="G6" s="6" t="s">
        <v>26</v>
      </c>
      <c r="H6" s="6">
        <v>12</v>
      </c>
      <c r="I6" s="6"/>
      <c r="J6" s="10" t="s">
        <v>24</v>
      </c>
      <c r="K6" s="6"/>
      <c r="L6" s="6">
        <v>99</v>
      </c>
      <c r="M6" s="6"/>
      <c r="N6" s="6" t="s">
        <v>27</v>
      </c>
      <c r="O6" s="6"/>
    </row>
    <row r="7" spans="2:15">
      <c r="B7" s="6"/>
      <c r="C7" s="6"/>
      <c r="D7" s="6"/>
      <c r="E7" s="6" t="s">
        <v>25</v>
      </c>
      <c r="F7" s="6">
        <v>4930</v>
      </c>
      <c r="G7" s="6" t="s">
        <v>28</v>
      </c>
      <c r="H7" s="6">
        <v>32</v>
      </c>
      <c r="I7" s="6"/>
      <c r="J7" s="10" t="s">
        <v>24</v>
      </c>
      <c r="K7" s="6"/>
      <c r="L7" s="6">
        <v>99</v>
      </c>
      <c r="M7" s="6"/>
      <c r="N7" s="6"/>
      <c r="O7" s="6"/>
    </row>
    <row r="8" spans="2:15">
      <c r="B8" s="6"/>
      <c r="C8" s="6"/>
      <c r="D8" s="6"/>
      <c r="E8" s="6" t="s">
        <v>25</v>
      </c>
      <c r="F8" s="6">
        <v>5400</v>
      </c>
      <c r="G8" s="6" t="s">
        <v>29</v>
      </c>
      <c r="H8" s="6">
        <v>20</v>
      </c>
      <c r="I8" s="6"/>
      <c r="J8" s="7" t="s">
        <v>21</v>
      </c>
      <c r="K8" s="6"/>
      <c r="L8" s="31">
        <v>90</v>
      </c>
      <c r="M8" s="6"/>
      <c r="N8" s="6"/>
      <c r="O8" s="6"/>
    </row>
    <row r="9" spans="2:15">
      <c r="B9" s="6"/>
      <c r="C9" s="6"/>
      <c r="D9" s="6"/>
      <c r="E9" s="6" t="s">
        <v>25</v>
      </c>
      <c r="F9" s="6">
        <v>5470</v>
      </c>
      <c r="G9" s="6" t="s">
        <v>30</v>
      </c>
      <c r="H9" s="6">
        <v>30</v>
      </c>
      <c r="I9" s="6"/>
      <c r="J9" s="7" t="s">
        <v>21</v>
      </c>
      <c r="K9" s="6"/>
      <c r="L9" s="31"/>
      <c r="M9" s="6"/>
      <c r="N9" s="6"/>
      <c r="O9" s="6"/>
    </row>
    <row r="10" spans="2:15">
      <c r="B10" s="6"/>
      <c r="C10" s="6"/>
      <c r="D10" s="6"/>
      <c r="E10" s="6" t="s">
        <v>25</v>
      </c>
      <c r="F10" s="6">
        <v>5718</v>
      </c>
      <c r="G10" s="6" t="s">
        <v>31</v>
      </c>
      <c r="H10" s="9">
        <v>21</v>
      </c>
      <c r="I10" s="9"/>
      <c r="J10" s="9" t="s">
        <v>18</v>
      </c>
      <c r="K10" s="6"/>
      <c r="L10" s="11"/>
      <c r="M10" s="6"/>
      <c r="N10" s="6" t="s">
        <v>32</v>
      </c>
      <c r="O10" s="6"/>
    </row>
    <row r="11" spans="2:15">
      <c r="B11" s="6"/>
      <c r="C11" s="6"/>
      <c r="D11" s="6"/>
      <c r="E11" s="6" t="s">
        <v>25</v>
      </c>
      <c r="F11" s="6">
        <v>5780</v>
      </c>
      <c r="G11" s="6" t="s">
        <v>33</v>
      </c>
      <c r="H11" s="6">
        <v>40</v>
      </c>
      <c r="I11" s="6"/>
      <c r="J11" s="7" t="s">
        <v>21</v>
      </c>
      <c r="K11" s="6"/>
      <c r="L11" s="6">
        <v>35</v>
      </c>
      <c r="M11" s="6"/>
      <c r="N11" s="6"/>
      <c r="O11" s="6"/>
    </row>
    <row r="12" spans="2:15">
      <c r="B12" s="6">
        <v>2</v>
      </c>
      <c r="C12" s="6" t="s">
        <v>34</v>
      </c>
      <c r="D12" s="6" t="s">
        <v>15</v>
      </c>
      <c r="E12" s="6" t="s">
        <v>16</v>
      </c>
      <c r="F12" s="6"/>
      <c r="G12" s="6" t="s">
        <v>35</v>
      </c>
      <c r="H12" s="6">
        <v>36</v>
      </c>
      <c r="I12" s="6"/>
      <c r="J12" s="10" t="s">
        <v>24</v>
      </c>
      <c r="K12" s="6"/>
      <c r="L12" s="6"/>
      <c r="M12" s="6"/>
      <c r="N12" s="6"/>
      <c r="O12" s="6"/>
    </row>
    <row r="13" spans="2:15">
      <c r="B13" s="6"/>
      <c r="C13" s="6"/>
      <c r="D13" s="6"/>
      <c r="E13" s="6" t="s">
        <v>25</v>
      </c>
      <c r="F13" s="6">
        <v>4930</v>
      </c>
      <c r="G13" s="6" t="s">
        <v>36</v>
      </c>
      <c r="H13" s="6">
        <v>64</v>
      </c>
      <c r="I13" s="6"/>
      <c r="J13" s="7" t="s">
        <v>21</v>
      </c>
      <c r="K13" s="6"/>
      <c r="L13" s="6"/>
      <c r="M13" s="6"/>
      <c r="N13" s="6" t="s">
        <v>37</v>
      </c>
      <c r="O13" s="6"/>
    </row>
    <row r="14" spans="2:15">
      <c r="B14" s="6"/>
      <c r="C14" s="6"/>
      <c r="D14" s="6"/>
      <c r="E14" s="6" t="s">
        <v>25</v>
      </c>
      <c r="F14" s="6"/>
      <c r="G14" s="6" t="s">
        <v>38</v>
      </c>
      <c r="H14" s="9">
        <v>29</v>
      </c>
      <c r="I14" s="9"/>
      <c r="J14" s="9" t="s">
        <v>18</v>
      </c>
      <c r="K14" s="6"/>
      <c r="L14" s="6"/>
      <c r="M14" s="6"/>
      <c r="N14" s="6" t="s">
        <v>39</v>
      </c>
      <c r="O14" s="6"/>
    </row>
    <row r="15" spans="2:15">
      <c r="B15" s="6">
        <v>3</v>
      </c>
      <c r="C15" s="6" t="s">
        <v>40</v>
      </c>
      <c r="D15" s="6" t="s">
        <v>15</v>
      </c>
      <c r="E15" s="6" t="s">
        <v>16</v>
      </c>
      <c r="F15" s="6">
        <v>3070</v>
      </c>
      <c r="G15" s="6" t="s">
        <v>41</v>
      </c>
      <c r="H15" s="6">
        <v>6</v>
      </c>
      <c r="I15" s="6"/>
      <c r="J15" s="7" t="s">
        <v>21</v>
      </c>
      <c r="K15" s="28"/>
      <c r="L15" s="6"/>
      <c r="M15" s="6"/>
      <c r="N15" s="6" t="s">
        <v>42</v>
      </c>
      <c r="O15" s="6"/>
    </row>
    <row r="16" spans="2:15">
      <c r="B16" s="6"/>
      <c r="C16" s="6"/>
      <c r="D16" s="6"/>
      <c r="E16" s="6" t="s">
        <v>16</v>
      </c>
      <c r="F16" s="6"/>
      <c r="G16" s="6" t="s">
        <v>43</v>
      </c>
      <c r="H16" s="9">
        <v>6</v>
      </c>
      <c r="I16" s="9"/>
      <c r="J16" s="9" t="s">
        <v>18</v>
      </c>
      <c r="K16" s="28"/>
      <c r="L16" s="6"/>
      <c r="M16" s="6"/>
      <c r="N16" s="6" t="s">
        <v>44</v>
      </c>
      <c r="O16" s="6"/>
    </row>
    <row r="17" spans="2:15">
      <c r="B17" s="6"/>
      <c r="C17" s="6"/>
      <c r="D17" s="6"/>
      <c r="E17" s="6" t="s">
        <v>16</v>
      </c>
      <c r="F17" s="6">
        <v>3120</v>
      </c>
      <c r="G17" s="6" t="s">
        <v>45</v>
      </c>
      <c r="H17" s="9">
        <v>15</v>
      </c>
      <c r="I17" s="9"/>
      <c r="J17" s="9" t="s">
        <v>18</v>
      </c>
      <c r="K17" s="28"/>
      <c r="L17" s="6"/>
      <c r="M17" s="6"/>
      <c r="N17" s="6" t="s">
        <v>46</v>
      </c>
      <c r="O17" s="6"/>
    </row>
    <row r="18" spans="2:15">
      <c r="B18" s="6">
        <v>4</v>
      </c>
      <c r="C18" s="6" t="s">
        <v>47</v>
      </c>
      <c r="D18" s="6" t="s">
        <v>15</v>
      </c>
      <c r="E18" s="6" t="s">
        <v>16</v>
      </c>
      <c r="F18" s="6"/>
      <c r="G18" s="6" t="s">
        <v>48</v>
      </c>
      <c r="H18" s="6">
        <v>4</v>
      </c>
      <c r="I18" s="6"/>
      <c r="J18" s="7" t="s">
        <v>21</v>
      </c>
      <c r="K18" s="6"/>
      <c r="L18" s="6">
        <v>65</v>
      </c>
      <c r="M18" s="12">
        <v>38643</v>
      </c>
      <c r="N18" s="6"/>
      <c r="O18" s="6"/>
    </row>
    <row r="19" spans="2:15">
      <c r="B19" s="6"/>
      <c r="C19" s="6"/>
      <c r="D19" s="6"/>
      <c r="E19" s="6" t="s">
        <v>16</v>
      </c>
      <c r="F19" s="6"/>
      <c r="G19" s="6" t="s">
        <v>49</v>
      </c>
      <c r="H19" s="9">
        <v>13</v>
      </c>
      <c r="I19" s="9"/>
      <c r="J19" s="9" t="s">
        <v>18</v>
      </c>
      <c r="K19" s="6"/>
      <c r="L19" s="6"/>
      <c r="M19" s="12"/>
      <c r="N19" s="6" t="s">
        <v>50</v>
      </c>
      <c r="O19" s="6"/>
    </row>
    <row r="20" spans="2:15">
      <c r="B20" s="13">
        <v>5</v>
      </c>
      <c r="C20" s="13" t="s">
        <v>51</v>
      </c>
      <c r="D20" s="13" t="s">
        <v>15</v>
      </c>
      <c r="E20" s="13"/>
      <c r="F20" s="13"/>
      <c r="G20" s="13"/>
      <c r="H20" s="13"/>
      <c r="I20" s="13"/>
      <c r="J20" s="13"/>
      <c r="K20" s="13"/>
      <c r="L20" s="13"/>
      <c r="M20" s="14"/>
      <c r="N20" s="13" t="s">
        <v>52</v>
      </c>
      <c r="O20" s="13"/>
    </row>
    <row r="21" spans="2:15">
      <c r="B21" s="6">
        <v>6</v>
      </c>
      <c r="C21" s="6" t="s">
        <v>53</v>
      </c>
      <c r="D21" s="6" t="s">
        <v>15</v>
      </c>
      <c r="E21" s="6" t="s">
        <v>54</v>
      </c>
      <c r="F21" s="6">
        <v>4300</v>
      </c>
      <c r="G21" s="6" t="s">
        <v>55</v>
      </c>
      <c r="H21" s="9">
        <v>41</v>
      </c>
      <c r="I21" s="6"/>
      <c r="J21" s="9" t="s">
        <v>18</v>
      </c>
      <c r="K21" s="28"/>
      <c r="L21" s="6"/>
      <c r="M21" s="12"/>
      <c r="N21" s="6" t="s">
        <v>56</v>
      </c>
      <c r="O21" s="6"/>
    </row>
    <row r="22" spans="2:15">
      <c r="B22" s="6"/>
      <c r="C22" s="6"/>
      <c r="D22" s="6"/>
      <c r="E22" s="6" t="s">
        <v>54</v>
      </c>
      <c r="F22" s="6">
        <v>4380</v>
      </c>
      <c r="G22" s="6" t="s">
        <v>57</v>
      </c>
      <c r="H22" s="6">
        <v>16</v>
      </c>
      <c r="I22" s="6"/>
      <c r="J22" s="7" t="s">
        <v>21</v>
      </c>
      <c r="K22" s="28"/>
      <c r="L22" s="6"/>
      <c r="M22" s="6"/>
      <c r="N22" s="6"/>
      <c r="O22" s="6"/>
    </row>
    <row r="23" spans="2:15">
      <c r="B23" s="6"/>
      <c r="C23" s="6"/>
      <c r="D23" s="6"/>
      <c r="E23" s="6" t="s">
        <v>54</v>
      </c>
      <c r="F23" s="6">
        <v>4380</v>
      </c>
      <c r="G23" s="6" t="s">
        <v>58</v>
      </c>
      <c r="H23" s="6">
        <v>8</v>
      </c>
      <c r="I23" s="6"/>
      <c r="J23" s="10" t="s">
        <v>24</v>
      </c>
      <c r="K23" s="28"/>
      <c r="L23" s="6"/>
      <c r="M23" s="6"/>
      <c r="N23" s="6"/>
      <c r="O23" s="6"/>
    </row>
    <row r="24" spans="2:15">
      <c r="B24" s="6"/>
      <c r="C24" s="6"/>
      <c r="D24" s="6"/>
      <c r="E24" s="6" t="s">
        <v>54</v>
      </c>
      <c r="F24" s="6">
        <v>4450</v>
      </c>
      <c r="G24" s="6" t="s">
        <v>59</v>
      </c>
      <c r="H24" s="6">
        <v>8</v>
      </c>
      <c r="I24" s="6"/>
      <c r="J24" s="10" t="s">
        <v>24</v>
      </c>
      <c r="K24" s="28"/>
      <c r="L24" s="6"/>
      <c r="M24" s="6"/>
      <c r="N24" s="6"/>
      <c r="O24" s="6"/>
    </row>
    <row r="25" spans="2:15">
      <c r="B25" s="6"/>
      <c r="C25" s="6"/>
      <c r="D25" s="6"/>
      <c r="E25" s="6" t="s">
        <v>54</v>
      </c>
      <c r="F25" s="6"/>
      <c r="G25" s="6" t="s">
        <v>60</v>
      </c>
      <c r="H25" s="6">
        <v>12</v>
      </c>
      <c r="I25" s="6"/>
      <c r="J25" s="7" t="s">
        <v>21</v>
      </c>
      <c r="K25" s="28"/>
      <c r="L25" s="6"/>
      <c r="M25" s="6"/>
      <c r="N25" s="6"/>
      <c r="O25" s="6"/>
    </row>
    <row r="26" spans="2:15">
      <c r="B26" s="6"/>
      <c r="C26" s="6"/>
      <c r="D26" s="6"/>
      <c r="E26" s="6" t="s">
        <v>61</v>
      </c>
      <c r="F26" s="6">
        <v>4650</v>
      </c>
      <c r="G26" s="6" t="s">
        <v>62</v>
      </c>
      <c r="H26" s="6">
        <v>6</v>
      </c>
      <c r="I26" s="6"/>
      <c r="J26" s="10" t="s">
        <v>24</v>
      </c>
      <c r="K26" s="28"/>
      <c r="L26" s="6"/>
      <c r="M26" s="6"/>
      <c r="N26" s="6"/>
      <c r="O26" s="6"/>
    </row>
    <row r="27" spans="2:15">
      <c r="B27" s="6"/>
      <c r="C27" s="6"/>
      <c r="D27" s="6"/>
      <c r="E27" s="6" t="s">
        <v>61</v>
      </c>
      <c r="F27" s="6">
        <v>4650</v>
      </c>
      <c r="G27" s="6" t="s">
        <v>63</v>
      </c>
      <c r="H27" s="6">
        <v>5</v>
      </c>
      <c r="I27" s="6"/>
      <c r="J27" s="10" t="s">
        <v>24</v>
      </c>
      <c r="K27" s="28"/>
      <c r="L27" s="6"/>
      <c r="M27" s="6"/>
      <c r="N27" s="6"/>
      <c r="O27" s="6"/>
    </row>
    <row r="28" spans="2:15">
      <c r="B28" s="6"/>
      <c r="C28" s="6"/>
      <c r="D28" s="6"/>
      <c r="E28" s="6" t="s">
        <v>16</v>
      </c>
      <c r="F28" s="6">
        <v>4800</v>
      </c>
      <c r="G28" s="6" t="s">
        <v>64</v>
      </c>
      <c r="H28" s="6">
        <v>8</v>
      </c>
      <c r="I28" s="6"/>
      <c r="J28" s="7" t="s">
        <v>21</v>
      </c>
      <c r="K28" s="28"/>
      <c r="L28" s="6"/>
      <c r="M28" s="6"/>
      <c r="N28" s="6"/>
      <c r="O28" s="6"/>
    </row>
    <row r="29" spans="2:15">
      <c r="B29" s="6"/>
      <c r="C29" s="6"/>
      <c r="D29" s="6"/>
      <c r="E29" s="6" t="s">
        <v>16</v>
      </c>
      <c r="F29" s="6">
        <v>4850</v>
      </c>
      <c r="G29" s="6" t="s">
        <v>65</v>
      </c>
      <c r="H29" s="6">
        <v>14</v>
      </c>
      <c r="I29" s="6"/>
      <c r="J29" s="10" t="s">
        <v>24</v>
      </c>
      <c r="K29" s="28"/>
      <c r="L29" s="6"/>
      <c r="M29" s="6"/>
      <c r="N29" s="6"/>
      <c r="O29" s="6"/>
    </row>
    <row r="30" spans="2:15">
      <c r="B30" s="6"/>
      <c r="C30" s="6"/>
      <c r="D30" s="6"/>
      <c r="E30" s="6" t="s">
        <v>25</v>
      </c>
      <c r="F30" s="6">
        <v>5100</v>
      </c>
      <c r="G30" s="6" t="s">
        <v>66</v>
      </c>
      <c r="H30" s="6">
        <v>7</v>
      </c>
      <c r="I30" s="6"/>
      <c r="J30" s="10" t="s">
        <v>24</v>
      </c>
      <c r="K30" s="28"/>
      <c r="L30" s="6"/>
      <c r="M30" s="6"/>
      <c r="N30" s="6"/>
      <c r="O30" s="6"/>
    </row>
    <row r="31" spans="2:15">
      <c r="B31" s="6"/>
      <c r="C31" s="6"/>
      <c r="D31" s="6"/>
      <c r="E31" s="6" t="s">
        <v>25</v>
      </c>
      <c r="F31" s="6"/>
      <c r="G31" s="6" t="s">
        <v>67</v>
      </c>
      <c r="H31" s="6">
        <v>6</v>
      </c>
      <c r="I31" s="6"/>
      <c r="J31" s="10" t="s">
        <v>24</v>
      </c>
      <c r="K31" s="28"/>
      <c r="L31" s="6"/>
      <c r="M31" s="6"/>
      <c r="N31" s="6"/>
      <c r="O31" s="6"/>
    </row>
    <row r="32" spans="2:15">
      <c r="B32" s="6"/>
      <c r="C32" s="6"/>
      <c r="D32" s="6"/>
      <c r="E32" s="6" t="s">
        <v>25</v>
      </c>
      <c r="F32" s="6">
        <v>5200</v>
      </c>
      <c r="G32" s="6" t="s">
        <v>68</v>
      </c>
      <c r="H32" s="6">
        <v>12</v>
      </c>
      <c r="I32" s="6"/>
      <c r="J32" s="10" t="s">
        <v>24</v>
      </c>
      <c r="K32" s="28"/>
      <c r="L32" s="6"/>
      <c r="M32" s="6"/>
      <c r="N32" s="6"/>
      <c r="O32" s="6"/>
    </row>
    <row r="33" spans="2:15">
      <c r="B33" s="6"/>
      <c r="C33" s="6"/>
      <c r="D33" s="6"/>
      <c r="E33" s="6" t="s">
        <v>25</v>
      </c>
      <c r="F33" s="6">
        <v>5330</v>
      </c>
      <c r="G33" s="6" t="s">
        <v>69</v>
      </c>
      <c r="H33" s="6">
        <v>7</v>
      </c>
      <c r="I33" s="6"/>
      <c r="J33" s="10" t="s">
        <v>24</v>
      </c>
      <c r="K33" s="28"/>
      <c r="L33" s="6"/>
      <c r="M33" s="6"/>
      <c r="N33" s="6"/>
      <c r="O33" s="6"/>
    </row>
    <row r="34" spans="2:15">
      <c r="B34" s="6">
        <v>7</v>
      </c>
      <c r="C34" s="6" t="s">
        <v>70</v>
      </c>
      <c r="D34" s="6" t="s">
        <v>15</v>
      </c>
      <c r="E34" s="6" t="s">
        <v>54</v>
      </c>
      <c r="F34" s="6">
        <v>4350</v>
      </c>
      <c r="G34" s="6" t="s">
        <v>71</v>
      </c>
      <c r="H34" s="9">
        <v>5</v>
      </c>
      <c r="I34" s="6"/>
      <c r="J34" s="9" t="s">
        <v>18</v>
      </c>
      <c r="K34" s="28"/>
      <c r="L34" s="6"/>
      <c r="M34" s="6"/>
      <c r="N34" s="6" t="s">
        <v>72</v>
      </c>
      <c r="O34" s="6"/>
    </row>
    <row r="35" spans="2:15">
      <c r="B35" s="6"/>
      <c r="C35" s="6"/>
      <c r="D35" s="6"/>
      <c r="E35" s="6" t="s">
        <v>54</v>
      </c>
      <c r="F35" s="6">
        <v>4380</v>
      </c>
      <c r="G35" s="6" t="s">
        <v>73</v>
      </c>
      <c r="H35" s="6">
        <v>14</v>
      </c>
      <c r="I35" s="6"/>
      <c r="J35" s="7" t="s">
        <v>21</v>
      </c>
      <c r="K35" s="28"/>
      <c r="L35" s="6"/>
      <c r="M35" s="6"/>
      <c r="N35" s="6"/>
      <c r="O35" s="6"/>
    </row>
    <row r="36" spans="2:15">
      <c r="B36" s="6"/>
      <c r="C36" s="6"/>
      <c r="D36" s="6"/>
      <c r="E36" s="6" t="s">
        <v>54</v>
      </c>
      <c r="F36" s="6">
        <v>4450</v>
      </c>
      <c r="G36" s="6" t="s">
        <v>74</v>
      </c>
      <c r="H36" s="6">
        <v>13</v>
      </c>
      <c r="I36" s="6"/>
      <c r="J36" s="7" t="s">
        <v>21</v>
      </c>
      <c r="K36" s="28"/>
      <c r="L36" s="6"/>
      <c r="M36" s="6"/>
      <c r="N36" s="6"/>
      <c r="O36" s="6"/>
    </row>
    <row r="37" spans="2:15">
      <c r="B37" s="6"/>
      <c r="C37" s="6"/>
      <c r="D37" s="6"/>
      <c r="E37" s="6" t="s">
        <v>54</v>
      </c>
      <c r="F37" s="6">
        <v>4450</v>
      </c>
      <c r="G37" s="6" t="s">
        <v>75</v>
      </c>
      <c r="H37" s="6">
        <v>10</v>
      </c>
      <c r="I37" s="6"/>
      <c r="J37" s="7" t="s">
        <v>21</v>
      </c>
      <c r="K37" s="28"/>
      <c r="L37" s="6"/>
      <c r="M37" s="6"/>
      <c r="N37" s="6"/>
      <c r="O37" s="6"/>
    </row>
    <row r="38" spans="2:15">
      <c r="B38" s="6"/>
      <c r="C38" s="6"/>
      <c r="D38" s="6"/>
      <c r="E38" s="6" t="s">
        <v>61</v>
      </c>
      <c r="F38" s="6">
        <v>4610</v>
      </c>
      <c r="G38" s="6" t="s">
        <v>76</v>
      </c>
      <c r="H38" s="6">
        <v>8</v>
      </c>
      <c r="I38" s="6"/>
      <c r="J38" s="7" t="s">
        <v>21</v>
      </c>
      <c r="K38" s="28"/>
      <c r="L38" s="6"/>
      <c r="M38" s="6"/>
      <c r="N38" s="6"/>
      <c r="O38" s="6"/>
    </row>
    <row r="39" spans="2:15">
      <c r="B39" s="6"/>
      <c r="C39" s="6"/>
      <c r="D39" s="6"/>
      <c r="E39" s="6" t="s">
        <v>16</v>
      </c>
      <c r="F39" s="6">
        <v>4800</v>
      </c>
      <c r="G39" s="6" t="s">
        <v>77</v>
      </c>
      <c r="H39" s="6">
        <v>5</v>
      </c>
      <c r="I39" s="6"/>
      <c r="J39" s="7" t="s">
        <v>21</v>
      </c>
      <c r="K39" s="28"/>
      <c r="L39" s="6"/>
      <c r="M39" s="6"/>
      <c r="N39" s="6"/>
      <c r="O39" s="6"/>
    </row>
    <row r="40" spans="2:15">
      <c r="B40" s="6"/>
      <c r="C40" s="6"/>
      <c r="D40" s="6"/>
      <c r="E40" s="6" t="s">
        <v>16</v>
      </c>
      <c r="F40" s="6">
        <v>4800</v>
      </c>
      <c r="G40" s="6" t="s">
        <v>78</v>
      </c>
      <c r="H40" s="6">
        <v>3</v>
      </c>
      <c r="I40" s="6"/>
      <c r="J40" s="7" t="s">
        <v>21</v>
      </c>
      <c r="K40" s="28"/>
      <c r="L40" s="6"/>
      <c r="M40" s="6"/>
      <c r="N40" s="6"/>
      <c r="O40" s="6"/>
    </row>
    <row r="41" spans="2:15">
      <c r="B41" s="6"/>
      <c r="C41" s="6"/>
      <c r="D41" s="6"/>
      <c r="E41" s="6" t="s">
        <v>16</v>
      </c>
      <c r="F41" s="6">
        <v>4850</v>
      </c>
      <c r="G41" s="6" t="s">
        <v>79</v>
      </c>
      <c r="H41" s="6">
        <v>15</v>
      </c>
      <c r="I41" s="6"/>
      <c r="J41" s="7" t="s">
        <v>21</v>
      </c>
      <c r="K41" s="28"/>
      <c r="L41" s="6"/>
      <c r="M41" s="6"/>
      <c r="N41" s="6"/>
      <c r="O41" s="6"/>
    </row>
    <row r="42" spans="2:15">
      <c r="B42" s="6"/>
      <c r="C42" s="6"/>
      <c r="D42" s="6"/>
      <c r="E42" s="6" t="s">
        <v>16</v>
      </c>
      <c r="F42" s="6">
        <v>4850</v>
      </c>
      <c r="G42" s="6" t="s">
        <v>80</v>
      </c>
      <c r="H42" s="6">
        <v>4</v>
      </c>
      <c r="I42" s="6"/>
      <c r="J42" s="7" t="s">
        <v>21</v>
      </c>
      <c r="K42" s="28"/>
      <c r="L42" s="6"/>
      <c r="M42" s="6"/>
      <c r="N42" s="6"/>
      <c r="O42" s="6"/>
    </row>
    <row r="43" spans="2:15">
      <c r="B43" s="6"/>
      <c r="C43" s="6"/>
      <c r="D43" s="6"/>
      <c r="E43" s="6" t="s">
        <v>16</v>
      </c>
      <c r="F43" s="6">
        <v>4850</v>
      </c>
      <c r="G43" s="6" t="s">
        <v>81</v>
      </c>
      <c r="H43" s="6">
        <v>5</v>
      </c>
      <c r="I43" s="6"/>
      <c r="J43" s="7" t="s">
        <v>21</v>
      </c>
      <c r="K43" s="28"/>
      <c r="L43" s="6"/>
      <c r="M43" s="6"/>
      <c r="N43" s="6"/>
      <c r="O43" s="6"/>
    </row>
    <row r="44" spans="2:15" ht="14.25">
      <c r="B44" s="6"/>
      <c r="C44" s="6"/>
      <c r="D44" s="6"/>
      <c r="E44" s="6" t="s">
        <v>16</v>
      </c>
      <c r="F44" s="6">
        <v>4900</v>
      </c>
      <c r="G44" s="6" t="s">
        <v>82</v>
      </c>
      <c r="H44" s="15">
        <v>4</v>
      </c>
      <c r="I44" s="15"/>
      <c r="J44" s="16" t="s">
        <v>21</v>
      </c>
      <c r="K44" s="28"/>
      <c r="L44" s="6"/>
      <c r="M44" s="6"/>
      <c r="N44" s="6"/>
      <c r="O44" s="6"/>
    </row>
    <row r="45" spans="2:15" ht="14.25">
      <c r="B45" s="6">
        <v>8</v>
      </c>
      <c r="C45" s="6" t="s">
        <v>83</v>
      </c>
      <c r="D45" s="6" t="s">
        <v>15</v>
      </c>
      <c r="E45" s="6" t="s">
        <v>54</v>
      </c>
      <c r="F45" s="6"/>
      <c r="G45" s="6" t="s">
        <v>84</v>
      </c>
      <c r="H45" s="17">
        <v>14</v>
      </c>
      <c r="I45" s="17"/>
      <c r="J45" s="17" t="s">
        <v>18</v>
      </c>
      <c r="K45" s="6"/>
      <c r="L45" s="6"/>
      <c r="M45" s="6"/>
      <c r="N45" s="6" t="s">
        <v>85</v>
      </c>
      <c r="O45" s="6"/>
    </row>
    <row r="46" spans="2:15" ht="14.25">
      <c r="B46" s="6"/>
      <c r="C46" s="6"/>
      <c r="D46" s="6"/>
      <c r="E46" s="6" t="s">
        <v>54</v>
      </c>
      <c r="F46" s="6"/>
      <c r="G46" s="6" t="s">
        <v>86</v>
      </c>
      <c r="H46" s="17">
        <v>9</v>
      </c>
      <c r="I46" s="17"/>
      <c r="J46" s="17" t="s">
        <v>18</v>
      </c>
      <c r="K46" s="6"/>
      <c r="L46" s="6"/>
      <c r="M46" s="6"/>
      <c r="N46" s="6"/>
      <c r="O46" s="6"/>
    </row>
    <row r="47" spans="2:15" ht="14.25">
      <c r="B47" s="6"/>
      <c r="C47" s="6"/>
      <c r="D47" s="6"/>
      <c r="E47" s="6" t="s">
        <v>54</v>
      </c>
      <c r="F47" s="6"/>
      <c r="G47" s="6" t="s">
        <v>87</v>
      </c>
      <c r="H47" s="17">
        <v>7</v>
      </c>
      <c r="I47" s="17"/>
      <c r="J47" s="17" t="s">
        <v>18</v>
      </c>
      <c r="K47" s="6"/>
      <c r="L47" s="6"/>
      <c r="M47" s="6"/>
      <c r="N47" s="6"/>
      <c r="O47" s="6"/>
    </row>
    <row r="48" spans="2:15" ht="14.25">
      <c r="B48" s="6"/>
      <c r="C48" s="6"/>
      <c r="D48" s="6"/>
      <c r="E48" s="6" t="s">
        <v>54</v>
      </c>
      <c r="F48" s="6"/>
      <c r="G48" s="6" t="s">
        <v>88</v>
      </c>
      <c r="H48" s="17">
        <v>21</v>
      </c>
      <c r="I48" s="17"/>
      <c r="J48" s="17" t="s">
        <v>18</v>
      </c>
      <c r="K48" s="6"/>
      <c r="L48" s="6"/>
      <c r="M48" s="6"/>
      <c r="N48" s="6" t="s">
        <v>89</v>
      </c>
      <c r="O48" s="6"/>
    </row>
    <row r="49" spans="2:15" ht="14.25">
      <c r="B49" s="6"/>
      <c r="C49" s="6"/>
      <c r="D49" s="6"/>
      <c r="E49" s="6" t="s">
        <v>54</v>
      </c>
      <c r="F49" s="6"/>
      <c r="G49" s="6" t="s">
        <v>90</v>
      </c>
      <c r="H49" s="17">
        <v>34</v>
      </c>
      <c r="I49" s="17"/>
      <c r="J49" s="17" t="s">
        <v>18</v>
      </c>
      <c r="K49" s="6"/>
      <c r="L49" s="6"/>
      <c r="M49" s="6"/>
      <c r="N49" s="6" t="s">
        <v>91</v>
      </c>
      <c r="O49" s="6"/>
    </row>
    <row r="50" spans="2:15">
      <c r="B50" s="6"/>
      <c r="C50" s="6"/>
      <c r="D50" s="6"/>
      <c r="E50" s="6" t="s">
        <v>54</v>
      </c>
      <c r="F50" s="6">
        <v>4380</v>
      </c>
      <c r="G50" s="6" t="s">
        <v>92</v>
      </c>
      <c r="H50" s="6">
        <v>9</v>
      </c>
      <c r="I50" s="6"/>
      <c r="J50" s="10" t="s">
        <v>24</v>
      </c>
      <c r="K50" s="6"/>
      <c r="L50" s="6"/>
      <c r="M50" s="6"/>
      <c r="N50" s="6"/>
      <c r="O50" s="6"/>
    </row>
    <row r="51" spans="2:15">
      <c r="B51" s="6"/>
      <c r="C51" s="6"/>
      <c r="D51" s="6"/>
      <c r="E51" s="6" t="s">
        <v>54</v>
      </c>
      <c r="F51" s="6">
        <v>4380</v>
      </c>
      <c r="G51" s="6" t="s">
        <v>93</v>
      </c>
      <c r="H51" s="6">
        <v>4</v>
      </c>
      <c r="I51" s="6"/>
      <c r="J51" s="10" t="s">
        <v>24</v>
      </c>
      <c r="K51" s="6"/>
      <c r="L51" s="6"/>
      <c r="M51" s="6"/>
      <c r="N51" s="6"/>
      <c r="O51" s="6"/>
    </row>
    <row r="52" spans="2:15">
      <c r="B52" s="6"/>
      <c r="C52" s="6"/>
      <c r="D52" s="6"/>
      <c r="E52" s="6" t="s">
        <v>54</v>
      </c>
      <c r="F52" s="6">
        <v>4450</v>
      </c>
      <c r="G52" s="6" t="s">
        <v>94</v>
      </c>
      <c r="H52" s="6">
        <v>8</v>
      </c>
      <c r="I52" s="6"/>
      <c r="J52" s="7" t="s">
        <v>21</v>
      </c>
      <c r="K52" s="6"/>
      <c r="L52" s="6"/>
      <c r="M52" s="6"/>
      <c r="N52" s="6"/>
      <c r="O52" s="6"/>
    </row>
    <row r="53" spans="2:15">
      <c r="B53" s="6"/>
      <c r="C53" s="6"/>
      <c r="D53" s="6"/>
      <c r="E53" s="6" t="s">
        <v>61</v>
      </c>
      <c r="F53" s="6">
        <v>4580</v>
      </c>
      <c r="G53" s="6" t="s">
        <v>95</v>
      </c>
      <c r="H53" s="6">
        <v>10</v>
      </c>
      <c r="I53" s="6"/>
      <c r="J53" s="7" t="s">
        <v>21</v>
      </c>
      <c r="K53" s="6"/>
      <c r="L53" s="6"/>
      <c r="M53" s="6"/>
      <c r="N53" s="6"/>
      <c r="O53" s="6"/>
    </row>
    <row r="54" spans="2:15">
      <c r="B54" s="6"/>
      <c r="C54" s="6"/>
      <c r="D54" s="6"/>
      <c r="E54" s="6" t="s">
        <v>61</v>
      </c>
      <c r="F54" s="6">
        <v>4650</v>
      </c>
      <c r="G54" s="6" t="s">
        <v>96</v>
      </c>
      <c r="H54" s="6">
        <v>5</v>
      </c>
      <c r="I54" s="6"/>
      <c r="J54" s="7" t="s">
        <v>21</v>
      </c>
      <c r="K54" s="6"/>
      <c r="L54" s="6"/>
      <c r="M54" s="6"/>
      <c r="N54" s="6"/>
      <c r="O54" s="6"/>
    </row>
    <row r="55" spans="2:15">
      <c r="B55" s="6"/>
      <c r="C55" s="6"/>
      <c r="D55" s="6"/>
      <c r="E55" s="6" t="s">
        <v>61</v>
      </c>
      <c r="F55" s="6">
        <v>4650</v>
      </c>
      <c r="G55" s="6" t="s">
        <v>97</v>
      </c>
      <c r="H55" s="6">
        <v>4</v>
      </c>
      <c r="I55" s="6"/>
      <c r="J55" s="7" t="s">
        <v>21</v>
      </c>
      <c r="K55" s="6"/>
      <c r="L55" s="6"/>
      <c r="M55" s="6"/>
      <c r="N55" s="6"/>
      <c r="O55" s="6"/>
    </row>
    <row r="56" spans="2:15">
      <c r="B56" s="6"/>
      <c r="C56" s="6"/>
      <c r="D56" s="6"/>
      <c r="E56" s="6" t="s">
        <v>16</v>
      </c>
      <c r="F56" s="6">
        <v>5100</v>
      </c>
      <c r="G56" s="6" t="s">
        <v>98</v>
      </c>
      <c r="H56" s="6">
        <v>11</v>
      </c>
      <c r="I56" s="6"/>
      <c r="J56" s="10" t="s">
        <v>24</v>
      </c>
      <c r="K56" s="6"/>
      <c r="L56" s="6"/>
      <c r="M56" s="6"/>
      <c r="N56" s="6"/>
      <c r="O56" s="6"/>
    </row>
    <row r="57" spans="2:15">
      <c r="B57" s="6"/>
      <c r="C57" s="6"/>
      <c r="D57" s="6"/>
      <c r="E57" s="6" t="s">
        <v>16</v>
      </c>
      <c r="F57" s="6">
        <v>5100</v>
      </c>
      <c r="G57" s="6" t="s">
        <v>99</v>
      </c>
      <c r="H57" s="6">
        <v>6</v>
      </c>
      <c r="I57" s="6"/>
      <c r="J57" s="10" t="s">
        <v>24</v>
      </c>
      <c r="K57" s="6"/>
      <c r="L57" s="6"/>
      <c r="M57" s="6"/>
      <c r="N57" s="6"/>
      <c r="O57" s="6"/>
    </row>
    <row r="58" spans="2:15">
      <c r="B58" s="6"/>
      <c r="C58" s="6"/>
      <c r="D58" s="6"/>
      <c r="E58" s="6" t="s">
        <v>16</v>
      </c>
      <c r="F58" s="6">
        <v>5200</v>
      </c>
      <c r="G58" s="6" t="s">
        <v>100</v>
      </c>
      <c r="H58" s="6">
        <v>17</v>
      </c>
      <c r="I58" s="6"/>
      <c r="J58" s="10" t="s">
        <v>24</v>
      </c>
      <c r="K58" s="6"/>
      <c r="L58" s="6"/>
      <c r="M58" s="6"/>
      <c r="N58" s="6"/>
      <c r="O58" s="6"/>
    </row>
    <row r="59" spans="2:15">
      <c r="B59" s="6"/>
      <c r="C59" s="6"/>
      <c r="D59" s="6"/>
      <c r="E59" s="6" t="s">
        <v>16</v>
      </c>
      <c r="F59" s="6">
        <v>5250</v>
      </c>
      <c r="G59" s="6" t="s">
        <v>101</v>
      </c>
      <c r="H59" s="6">
        <v>5</v>
      </c>
      <c r="I59" s="6"/>
      <c r="J59" s="10" t="s">
        <v>24</v>
      </c>
      <c r="K59" s="6"/>
      <c r="L59" s="6"/>
      <c r="M59" s="6"/>
      <c r="N59" s="6"/>
      <c r="O59" s="6"/>
    </row>
    <row r="60" spans="2:15">
      <c r="B60" s="6">
        <v>9</v>
      </c>
      <c r="C60" s="6" t="s">
        <v>102</v>
      </c>
      <c r="D60" s="6" t="s">
        <v>103</v>
      </c>
      <c r="E60" s="6" t="s">
        <v>54</v>
      </c>
      <c r="F60" s="6">
        <v>4380</v>
      </c>
      <c r="G60" s="6" t="s">
        <v>104</v>
      </c>
      <c r="H60" s="9">
        <v>37</v>
      </c>
      <c r="I60" s="9"/>
      <c r="J60" s="9" t="s">
        <v>18</v>
      </c>
      <c r="K60" s="6"/>
      <c r="L60" s="6"/>
      <c r="M60" s="6"/>
      <c r="N60" s="6" t="s">
        <v>105</v>
      </c>
      <c r="O60" s="6"/>
    </row>
    <row r="61" spans="2:15">
      <c r="B61" s="6"/>
      <c r="C61" s="6"/>
      <c r="D61" s="6"/>
      <c r="E61" s="6" t="s">
        <v>61</v>
      </c>
      <c r="F61" s="6">
        <v>4610</v>
      </c>
      <c r="G61" s="6" t="s">
        <v>106</v>
      </c>
      <c r="H61" s="6">
        <v>13</v>
      </c>
      <c r="I61" s="6"/>
      <c r="J61" s="7" t="s">
        <v>21</v>
      </c>
      <c r="K61" s="6"/>
      <c r="L61" s="6"/>
      <c r="M61" s="6"/>
      <c r="N61" s="6"/>
      <c r="O61" s="6"/>
    </row>
    <row r="62" spans="2:15">
      <c r="B62" s="6"/>
      <c r="C62" s="6"/>
      <c r="D62" s="6"/>
      <c r="E62" s="6" t="s">
        <v>61</v>
      </c>
      <c r="F62" s="6">
        <v>4610</v>
      </c>
      <c r="G62" s="6" t="s">
        <v>107</v>
      </c>
      <c r="H62" s="6">
        <v>11</v>
      </c>
      <c r="I62" s="6"/>
      <c r="J62" s="7" t="s">
        <v>21</v>
      </c>
      <c r="K62" s="6"/>
      <c r="L62" s="6"/>
      <c r="M62" s="6"/>
      <c r="N62" s="6"/>
      <c r="O62" s="6"/>
    </row>
    <row r="63" spans="2:15">
      <c r="B63" s="6"/>
      <c r="C63" s="6"/>
      <c r="D63" s="6"/>
      <c r="E63" s="6" t="s">
        <v>61</v>
      </c>
      <c r="F63" s="6">
        <v>4650</v>
      </c>
      <c r="G63" s="6" t="s">
        <v>108</v>
      </c>
      <c r="H63" s="9">
        <v>4</v>
      </c>
      <c r="I63" s="9"/>
      <c r="J63" s="9" t="s">
        <v>18</v>
      </c>
      <c r="K63" s="6"/>
      <c r="L63" s="6"/>
      <c r="M63" s="6"/>
      <c r="N63" s="6" t="s">
        <v>109</v>
      </c>
      <c r="O63" s="6"/>
    </row>
    <row r="64" spans="2:15">
      <c r="B64" s="6"/>
      <c r="C64" s="6"/>
      <c r="D64" s="6"/>
      <c r="E64" s="6" t="s">
        <v>16</v>
      </c>
      <c r="F64" s="6"/>
      <c r="G64" s="6" t="s">
        <v>110</v>
      </c>
      <c r="H64" s="6">
        <v>3</v>
      </c>
      <c r="I64" s="6"/>
      <c r="J64" s="7" t="s">
        <v>21</v>
      </c>
      <c r="K64" s="6"/>
      <c r="L64" s="6"/>
      <c r="M64" s="6"/>
      <c r="N64" s="6"/>
      <c r="O64" s="6"/>
    </row>
    <row r="65" spans="2:15">
      <c r="B65" s="6"/>
      <c r="C65" s="6"/>
      <c r="D65" s="6"/>
      <c r="E65" s="6" t="s">
        <v>16</v>
      </c>
      <c r="F65" s="6"/>
      <c r="G65" s="6" t="s">
        <v>111</v>
      </c>
      <c r="H65" s="9">
        <v>23</v>
      </c>
      <c r="I65" s="9"/>
      <c r="J65" s="9" t="s">
        <v>18</v>
      </c>
      <c r="K65" s="6"/>
      <c r="L65" s="6"/>
      <c r="M65" s="6"/>
      <c r="N65" s="6" t="s">
        <v>112</v>
      </c>
      <c r="O65" s="6"/>
    </row>
    <row r="66" spans="2:15">
      <c r="B66" s="6"/>
      <c r="C66" s="6"/>
      <c r="D66" s="6"/>
      <c r="E66" s="6" t="s">
        <v>16</v>
      </c>
      <c r="F66" s="6"/>
      <c r="G66" s="6" t="s">
        <v>113</v>
      </c>
      <c r="H66" s="6">
        <v>17</v>
      </c>
      <c r="I66" s="6"/>
      <c r="J66" s="7" t="s">
        <v>21</v>
      </c>
      <c r="K66" s="6"/>
      <c r="L66" s="6"/>
      <c r="M66" s="6"/>
      <c r="N66" s="6"/>
      <c r="O66" s="6"/>
    </row>
    <row r="67" spans="2:15">
      <c r="B67" s="6"/>
      <c r="C67" s="6"/>
      <c r="D67" s="6"/>
      <c r="E67" s="6" t="s">
        <v>25</v>
      </c>
      <c r="F67" s="6"/>
      <c r="G67" s="6" t="s">
        <v>114</v>
      </c>
      <c r="H67" s="6">
        <v>4</v>
      </c>
      <c r="I67" s="6"/>
      <c r="J67" s="10" t="s">
        <v>24</v>
      </c>
      <c r="K67" s="6"/>
      <c r="L67" s="6"/>
      <c r="M67" s="6"/>
      <c r="N67" s="6"/>
      <c r="O67" s="6"/>
    </row>
    <row r="68" spans="2:15">
      <c r="B68" s="6">
        <v>10</v>
      </c>
      <c r="C68" s="6" t="s">
        <v>115</v>
      </c>
      <c r="D68" s="6" t="s">
        <v>116</v>
      </c>
      <c r="E68" s="6" t="s">
        <v>54</v>
      </c>
      <c r="F68" s="6"/>
      <c r="G68" s="6" t="s">
        <v>117</v>
      </c>
      <c r="H68" s="9">
        <v>24</v>
      </c>
      <c r="I68" s="6"/>
      <c r="J68" s="9" t="s">
        <v>18</v>
      </c>
      <c r="K68" s="6"/>
      <c r="L68" s="6"/>
      <c r="M68" s="6"/>
      <c r="N68" s="6" t="s">
        <v>118</v>
      </c>
      <c r="O68" s="6">
        <v>19</v>
      </c>
    </row>
    <row r="69" spans="2:15">
      <c r="B69" s="6"/>
      <c r="C69" s="6"/>
      <c r="D69" s="6"/>
      <c r="E69" s="6" t="s">
        <v>61</v>
      </c>
      <c r="F69" s="6"/>
      <c r="G69" s="6" t="s">
        <v>119</v>
      </c>
      <c r="H69" s="9">
        <v>10</v>
      </c>
      <c r="I69" s="6"/>
      <c r="J69" s="9" t="s">
        <v>18</v>
      </c>
      <c r="K69" s="6"/>
      <c r="L69" s="6"/>
      <c r="M69" s="6"/>
      <c r="N69" s="6"/>
      <c r="O69" s="6"/>
    </row>
    <row r="70" spans="2:15">
      <c r="B70" s="6"/>
      <c r="C70" s="6"/>
      <c r="D70" s="6"/>
      <c r="E70" s="6" t="s">
        <v>61</v>
      </c>
      <c r="F70" s="6"/>
      <c r="G70" s="6" t="s">
        <v>120</v>
      </c>
      <c r="H70" s="9">
        <v>10</v>
      </c>
      <c r="I70" s="6"/>
      <c r="J70" s="9" t="s">
        <v>18</v>
      </c>
      <c r="K70" s="6"/>
      <c r="L70" s="6"/>
      <c r="M70" s="6"/>
      <c r="N70" s="6"/>
      <c r="O70" s="6"/>
    </row>
    <row r="71" spans="2:15">
      <c r="B71" s="6"/>
      <c r="C71" s="6"/>
      <c r="D71" s="6"/>
      <c r="E71" s="6" t="s">
        <v>61</v>
      </c>
      <c r="F71" s="6"/>
      <c r="G71" s="6" t="s">
        <v>121</v>
      </c>
      <c r="H71" s="9">
        <v>20</v>
      </c>
      <c r="I71" s="6"/>
      <c r="J71" s="9" t="s">
        <v>18</v>
      </c>
      <c r="K71" s="6"/>
      <c r="L71" s="6"/>
      <c r="M71" s="6"/>
      <c r="N71" s="6"/>
      <c r="O71" s="6"/>
    </row>
    <row r="72" spans="2:15">
      <c r="B72" s="6"/>
      <c r="C72" s="6"/>
      <c r="D72" s="6"/>
      <c r="E72" s="6" t="s">
        <v>61</v>
      </c>
      <c r="F72" s="6"/>
      <c r="G72" s="6" t="s">
        <v>122</v>
      </c>
      <c r="H72" s="9">
        <v>15</v>
      </c>
      <c r="I72" s="6"/>
      <c r="J72" s="9" t="s">
        <v>18</v>
      </c>
      <c r="K72" s="6"/>
      <c r="L72" s="6"/>
      <c r="M72" s="6"/>
      <c r="N72" s="6"/>
      <c r="O72" s="6"/>
    </row>
    <row r="73" spans="2:15">
      <c r="B73" s="6"/>
      <c r="C73" s="6"/>
      <c r="D73" s="6"/>
      <c r="E73" s="6" t="s">
        <v>16</v>
      </c>
      <c r="F73" s="6"/>
      <c r="G73" s="6" t="s">
        <v>123</v>
      </c>
      <c r="H73" s="9">
        <v>24</v>
      </c>
      <c r="I73" s="6"/>
      <c r="J73" s="9" t="s">
        <v>18</v>
      </c>
      <c r="K73" s="6"/>
      <c r="L73" s="6"/>
      <c r="M73" s="6"/>
      <c r="N73" s="6"/>
      <c r="O73" s="6"/>
    </row>
    <row r="74" spans="2:15">
      <c r="B74" s="6"/>
      <c r="C74" s="6"/>
      <c r="D74" s="6"/>
      <c r="E74" s="6" t="s">
        <v>16</v>
      </c>
      <c r="F74" s="6"/>
      <c r="G74" s="6" t="s">
        <v>124</v>
      </c>
      <c r="H74" s="9">
        <v>13</v>
      </c>
      <c r="I74" s="6"/>
      <c r="J74" s="9" t="s">
        <v>18</v>
      </c>
      <c r="K74" s="6"/>
      <c r="L74" s="6"/>
      <c r="M74" s="6"/>
      <c r="N74" s="6"/>
      <c r="O74" s="6"/>
    </row>
    <row r="75" spans="2:15">
      <c r="B75" s="6"/>
      <c r="C75" s="6"/>
      <c r="D75" s="6"/>
      <c r="E75" s="6" t="s">
        <v>25</v>
      </c>
      <c r="F75" s="6">
        <v>5200</v>
      </c>
      <c r="G75" s="6" t="s">
        <v>125</v>
      </c>
      <c r="H75" s="18">
        <v>1314</v>
      </c>
      <c r="I75" s="18">
        <v>24</v>
      </c>
      <c r="J75" s="18"/>
      <c r="K75" s="18"/>
      <c r="L75" s="18"/>
      <c r="M75" s="18"/>
      <c r="N75" s="18" t="s">
        <v>126</v>
      </c>
      <c r="O75" s="18" t="s">
        <v>127</v>
      </c>
    </row>
    <row r="76" spans="2:15" ht="14.25">
      <c r="B76" s="19">
        <v>31</v>
      </c>
      <c r="C76" s="19" t="s">
        <v>128</v>
      </c>
      <c r="D76" s="19" t="s">
        <v>15</v>
      </c>
      <c r="E76" s="19" t="s">
        <v>129</v>
      </c>
      <c r="F76" s="19" t="s">
        <v>130</v>
      </c>
      <c r="G76" s="19" t="s">
        <v>131</v>
      </c>
      <c r="H76" s="20">
        <v>28</v>
      </c>
      <c r="I76" s="20" t="s">
        <v>18</v>
      </c>
      <c r="J76" s="21" t="s">
        <v>18</v>
      </c>
      <c r="K76" s="6"/>
      <c r="L76" s="6"/>
      <c r="M76" s="6"/>
      <c r="N76" s="6"/>
      <c r="O76" s="6">
        <v>14</v>
      </c>
    </row>
    <row r="77" spans="2:15" ht="14.25">
      <c r="B77" s="19" t="s">
        <v>130</v>
      </c>
      <c r="C77" s="19" t="s">
        <v>130</v>
      </c>
      <c r="D77" s="19" t="s">
        <v>130</v>
      </c>
      <c r="E77" s="19" t="s">
        <v>130</v>
      </c>
      <c r="F77" s="19" t="s">
        <v>130</v>
      </c>
      <c r="G77" s="19" t="s">
        <v>132</v>
      </c>
      <c r="H77" s="19">
        <v>7</v>
      </c>
      <c r="I77" s="22" t="s">
        <v>21</v>
      </c>
      <c r="J77" s="23" t="s">
        <v>21</v>
      </c>
      <c r="K77" s="6"/>
      <c r="L77" s="6"/>
      <c r="M77" s="6"/>
      <c r="N77" s="6"/>
      <c r="O77" s="6"/>
    </row>
    <row r="78" spans="2:15" ht="14.25">
      <c r="B78" s="19" t="s">
        <v>130</v>
      </c>
      <c r="C78" s="19" t="s">
        <v>130</v>
      </c>
      <c r="D78" s="19" t="s">
        <v>130</v>
      </c>
      <c r="E78" s="19" t="s">
        <v>130</v>
      </c>
      <c r="F78" s="19" t="s">
        <v>130</v>
      </c>
      <c r="G78" s="19" t="s">
        <v>133</v>
      </c>
      <c r="H78" s="19">
        <v>6</v>
      </c>
      <c r="I78" s="22" t="s">
        <v>21</v>
      </c>
      <c r="J78" s="23" t="s">
        <v>21</v>
      </c>
      <c r="K78" s="6"/>
      <c r="L78" s="6"/>
      <c r="M78" s="6"/>
      <c r="N78" s="6"/>
      <c r="O78" s="6"/>
    </row>
    <row r="79" spans="2:15" ht="14.25">
      <c r="B79" s="19" t="s">
        <v>130</v>
      </c>
      <c r="C79" s="19" t="s">
        <v>130</v>
      </c>
      <c r="D79" s="19" t="s">
        <v>130</v>
      </c>
      <c r="E79" s="19" t="s">
        <v>130</v>
      </c>
      <c r="F79" s="19" t="s">
        <v>130</v>
      </c>
      <c r="G79" s="19" t="s">
        <v>134</v>
      </c>
      <c r="H79" s="19">
        <v>4</v>
      </c>
      <c r="I79" s="22" t="s">
        <v>21</v>
      </c>
      <c r="J79" s="23" t="s">
        <v>21</v>
      </c>
      <c r="K79" s="6"/>
      <c r="L79" s="6"/>
      <c r="M79" s="6"/>
      <c r="N79" s="6"/>
      <c r="O79" s="6"/>
    </row>
    <row r="80" spans="2:15" ht="14.25">
      <c r="B80" s="19" t="s">
        <v>130</v>
      </c>
      <c r="C80" s="19" t="s">
        <v>130</v>
      </c>
      <c r="D80" s="19" t="s">
        <v>130</v>
      </c>
      <c r="E80" s="19" t="s">
        <v>130</v>
      </c>
      <c r="F80" s="19" t="s">
        <v>130</v>
      </c>
      <c r="G80" s="19" t="s">
        <v>135</v>
      </c>
      <c r="H80" s="19">
        <v>15</v>
      </c>
      <c r="I80" s="22" t="s">
        <v>21</v>
      </c>
      <c r="J80" s="23" t="s">
        <v>21</v>
      </c>
      <c r="K80" s="6"/>
      <c r="L80" s="6"/>
      <c r="M80" s="6"/>
      <c r="N80" s="6"/>
      <c r="O80" s="6"/>
    </row>
    <row r="81" spans="2:15" ht="14.25">
      <c r="B81" s="6">
        <v>12</v>
      </c>
      <c r="C81" s="6" t="s">
        <v>136</v>
      </c>
      <c r="D81" s="6" t="s">
        <v>15</v>
      </c>
      <c r="E81" s="6" t="s">
        <v>54</v>
      </c>
      <c r="F81" s="6">
        <v>4380</v>
      </c>
      <c r="G81" s="6" t="s">
        <v>137</v>
      </c>
      <c r="H81" s="9">
        <v>13</v>
      </c>
      <c r="I81" s="6"/>
      <c r="J81" s="9" t="s">
        <v>18</v>
      </c>
      <c r="K81" s="6"/>
      <c r="L81" s="6"/>
      <c r="M81" s="12"/>
      <c r="N81" s="6"/>
      <c r="O81" s="6">
        <v>27</v>
      </c>
    </row>
    <row r="82" spans="2:15" ht="14.25">
      <c r="B82" s="6"/>
      <c r="C82" s="6"/>
      <c r="D82" s="6"/>
      <c r="E82" s="6" t="s">
        <v>54</v>
      </c>
      <c r="F82" s="6">
        <v>4380</v>
      </c>
      <c r="G82" s="6" t="s">
        <v>138</v>
      </c>
      <c r="H82" s="9">
        <v>12</v>
      </c>
      <c r="I82" s="6"/>
      <c r="J82" s="9" t="s">
        <v>18</v>
      </c>
      <c r="K82" s="6"/>
      <c r="L82" s="6"/>
      <c r="M82" s="12"/>
      <c r="N82" s="6"/>
      <c r="O82" s="6"/>
    </row>
    <row r="83" spans="2:15" ht="14.25">
      <c r="B83" s="6"/>
      <c r="C83" s="6"/>
      <c r="D83" s="6"/>
      <c r="E83" s="6" t="s">
        <v>61</v>
      </c>
      <c r="F83" s="6">
        <v>4610</v>
      </c>
      <c r="G83" s="6" t="s">
        <v>139</v>
      </c>
      <c r="H83" s="6">
        <v>9</v>
      </c>
      <c r="I83" s="6"/>
      <c r="J83" s="10" t="s">
        <v>24</v>
      </c>
      <c r="K83" s="6"/>
      <c r="L83" s="6">
        <v>90</v>
      </c>
      <c r="M83" s="12">
        <v>36924</v>
      </c>
      <c r="N83" s="6"/>
      <c r="O83" s="6"/>
    </row>
    <row r="84" spans="2:15" ht="14.25">
      <c r="B84" s="6"/>
      <c r="C84" s="6"/>
      <c r="D84" s="6"/>
      <c r="E84" s="6" t="s">
        <v>61</v>
      </c>
      <c r="F84" s="6">
        <v>4650</v>
      </c>
      <c r="G84" s="6"/>
      <c r="H84" s="6"/>
      <c r="I84" s="6"/>
      <c r="J84" s="10" t="s">
        <v>24</v>
      </c>
      <c r="K84" s="6"/>
      <c r="L84" s="6">
        <v>100</v>
      </c>
      <c r="M84" s="12">
        <v>36924</v>
      </c>
      <c r="N84" s="6"/>
      <c r="O84" s="6">
        <v>27</v>
      </c>
    </row>
    <row r="85" spans="2:15">
      <c r="B85" s="6"/>
      <c r="C85" s="6"/>
      <c r="D85" s="6"/>
      <c r="E85" s="6" t="s">
        <v>61</v>
      </c>
      <c r="F85" s="6">
        <v>4650</v>
      </c>
      <c r="G85" s="6"/>
      <c r="H85" s="6"/>
      <c r="I85" s="6"/>
      <c r="J85" s="10" t="s">
        <v>24</v>
      </c>
      <c r="K85" s="6"/>
      <c r="L85" s="6">
        <v>100</v>
      </c>
      <c r="M85" s="12">
        <v>36924</v>
      </c>
      <c r="N85" s="6"/>
      <c r="O85" s="6">
        <v>20</v>
      </c>
    </row>
    <row r="86" spans="2:15">
      <c r="B86" s="6"/>
      <c r="C86" s="6"/>
      <c r="D86" s="6"/>
      <c r="E86" s="6" t="s">
        <v>16</v>
      </c>
      <c r="F86" s="6">
        <v>4850</v>
      </c>
      <c r="G86" s="6" t="s">
        <v>140</v>
      </c>
      <c r="H86" s="6">
        <v>10</v>
      </c>
      <c r="I86" s="6"/>
      <c r="J86" s="7" t="s">
        <v>21</v>
      </c>
      <c r="K86" s="6"/>
      <c r="L86" s="6">
        <v>60</v>
      </c>
      <c r="M86" s="12">
        <v>38553</v>
      </c>
      <c r="N86" s="6"/>
      <c r="O86" s="6">
        <v>13</v>
      </c>
    </row>
    <row r="87" spans="2:15">
      <c r="B87" s="6"/>
      <c r="C87" s="6"/>
      <c r="D87" s="6"/>
      <c r="E87" s="6" t="s">
        <v>16</v>
      </c>
      <c r="F87" s="6"/>
      <c r="G87" s="6" t="s">
        <v>141</v>
      </c>
      <c r="H87" s="6">
        <v>14</v>
      </c>
      <c r="I87" s="6"/>
      <c r="J87" s="10" t="s">
        <v>24</v>
      </c>
      <c r="K87" s="6"/>
      <c r="L87" s="6">
        <v>20</v>
      </c>
      <c r="M87" s="12">
        <v>37159</v>
      </c>
      <c r="N87" s="6"/>
      <c r="O87" s="6">
        <v>13</v>
      </c>
    </row>
    <row r="88" spans="2:15">
      <c r="B88" s="6"/>
      <c r="C88" s="6"/>
      <c r="D88" s="6"/>
      <c r="E88" s="6" t="s">
        <v>16</v>
      </c>
      <c r="F88" s="6"/>
      <c r="G88" s="6" t="s">
        <v>142</v>
      </c>
      <c r="H88" s="6">
        <v>6</v>
      </c>
      <c r="I88" s="6"/>
      <c r="J88" s="10" t="s">
        <v>24</v>
      </c>
      <c r="K88" s="6"/>
      <c r="L88" s="6">
        <v>100</v>
      </c>
      <c r="M88" s="12">
        <v>38553</v>
      </c>
      <c r="N88" s="6"/>
      <c r="O88" s="6">
        <v>14</v>
      </c>
    </row>
    <row r="89" spans="2:15">
      <c r="B89" s="6"/>
      <c r="C89" s="6"/>
      <c r="D89" s="6"/>
      <c r="E89" s="6" t="s">
        <v>61</v>
      </c>
      <c r="F89" s="6">
        <v>4380</v>
      </c>
      <c r="G89" s="6" t="s">
        <v>143</v>
      </c>
      <c r="H89" s="6">
        <v>50</v>
      </c>
      <c r="I89" s="6"/>
      <c r="J89" s="10" t="s">
        <v>24</v>
      </c>
      <c r="K89" s="6"/>
      <c r="L89" s="6"/>
      <c r="M89" s="12"/>
      <c r="N89" s="6"/>
      <c r="O89" s="6"/>
    </row>
    <row r="90" spans="2:15" ht="14.25">
      <c r="B90" s="6">
        <v>13</v>
      </c>
      <c r="C90" s="6" t="s">
        <v>144</v>
      </c>
      <c r="D90" s="6" t="s">
        <v>116</v>
      </c>
      <c r="E90" s="6"/>
      <c r="F90" s="6"/>
      <c r="G90" s="6" t="s">
        <v>145</v>
      </c>
      <c r="H90" s="6">
        <v>10</v>
      </c>
      <c r="I90" s="6"/>
      <c r="J90" s="16" t="s">
        <v>21</v>
      </c>
      <c r="K90" s="6"/>
      <c r="L90" s="6"/>
      <c r="M90" s="6"/>
      <c r="N90" s="6" t="s">
        <v>146</v>
      </c>
      <c r="O90" s="6">
        <v>31</v>
      </c>
    </row>
    <row r="91" spans="2:15" ht="14.25">
      <c r="B91" s="6"/>
      <c r="C91" s="6"/>
      <c r="D91" s="6"/>
      <c r="E91" s="6"/>
      <c r="F91" s="6"/>
      <c r="G91" s="6" t="s">
        <v>147</v>
      </c>
      <c r="H91" s="6">
        <v>7</v>
      </c>
      <c r="I91" s="6"/>
      <c r="J91" s="16" t="s">
        <v>21</v>
      </c>
      <c r="K91" s="6"/>
      <c r="L91" s="6"/>
      <c r="M91" s="6"/>
      <c r="N91" s="6"/>
      <c r="O91" s="6"/>
    </row>
    <row r="92" spans="2:15" ht="14.25">
      <c r="B92" s="6"/>
      <c r="C92" s="6"/>
      <c r="D92" s="6"/>
      <c r="E92" s="6"/>
      <c r="F92" s="6"/>
      <c r="G92" s="6" t="s">
        <v>148</v>
      </c>
      <c r="H92" s="6">
        <v>8</v>
      </c>
      <c r="I92" s="6"/>
      <c r="J92" s="16" t="s">
        <v>21</v>
      </c>
      <c r="K92" s="6"/>
      <c r="L92" s="6"/>
      <c r="M92" s="6"/>
      <c r="N92" s="6"/>
      <c r="O92" s="6"/>
    </row>
    <row r="93" spans="2:15" ht="14.25">
      <c r="B93" s="6"/>
      <c r="C93" s="6"/>
      <c r="D93" s="6"/>
      <c r="E93" s="6"/>
      <c r="F93" s="6"/>
      <c r="G93" s="6" t="s">
        <v>149</v>
      </c>
      <c r="H93" s="6">
        <v>21</v>
      </c>
      <c r="I93" s="6"/>
      <c r="J93" s="16" t="s">
        <v>21</v>
      </c>
      <c r="K93" s="6"/>
      <c r="L93" s="6"/>
      <c r="M93" s="6"/>
      <c r="N93" s="6" t="s">
        <v>150</v>
      </c>
      <c r="O93" s="6"/>
    </row>
    <row r="94" spans="2:15">
      <c r="B94" s="6">
        <v>14</v>
      </c>
      <c r="C94" s="6" t="s">
        <v>151</v>
      </c>
      <c r="D94" s="6" t="s">
        <v>103</v>
      </c>
      <c r="E94" s="6"/>
      <c r="F94" s="6"/>
      <c r="G94" s="6" t="s">
        <v>152</v>
      </c>
      <c r="H94" s="6">
        <v>9</v>
      </c>
      <c r="I94" s="6"/>
      <c r="J94" s="7" t="s">
        <v>21</v>
      </c>
      <c r="K94" s="28"/>
      <c r="L94" s="6"/>
      <c r="M94" s="6"/>
      <c r="N94" s="6" t="s">
        <v>153</v>
      </c>
      <c r="O94" s="6"/>
    </row>
    <row r="95" spans="2:15">
      <c r="B95" s="6"/>
      <c r="C95" s="6"/>
      <c r="D95" s="6"/>
      <c r="E95" s="6"/>
      <c r="F95" s="6"/>
      <c r="G95" s="6" t="s">
        <v>154</v>
      </c>
      <c r="H95" s="6">
        <v>17</v>
      </c>
      <c r="I95" s="6"/>
      <c r="J95" s="7" t="s">
        <v>21</v>
      </c>
      <c r="K95" s="28"/>
      <c r="L95" s="6"/>
      <c r="M95" s="6"/>
      <c r="N95" s="6"/>
      <c r="O95" s="6"/>
    </row>
    <row r="96" spans="2:15">
      <c r="B96" s="6"/>
      <c r="C96" s="6"/>
      <c r="D96" s="6"/>
      <c r="E96" s="6"/>
      <c r="F96" s="6"/>
      <c r="G96" s="6" t="s">
        <v>155</v>
      </c>
      <c r="H96" s="6">
        <v>3</v>
      </c>
      <c r="I96" s="6"/>
      <c r="J96" s="7" t="s">
        <v>21</v>
      </c>
      <c r="K96" s="28"/>
      <c r="L96" s="6"/>
      <c r="M96" s="6"/>
      <c r="N96" s="6"/>
      <c r="O96" s="6"/>
    </row>
    <row r="97" spans="2:15">
      <c r="B97" s="6"/>
      <c r="C97" s="6"/>
      <c r="D97" s="6"/>
      <c r="E97" s="6"/>
      <c r="F97" s="6"/>
      <c r="G97" s="6" t="s">
        <v>156</v>
      </c>
      <c r="H97" s="6">
        <v>5</v>
      </c>
      <c r="I97" s="6"/>
      <c r="J97" s="7" t="s">
        <v>21</v>
      </c>
      <c r="K97" s="28"/>
      <c r="L97" s="6"/>
      <c r="M97" s="6"/>
      <c r="N97" s="6"/>
      <c r="O97" s="6"/>
    </row>
    <row r="98" spans="2:15">
      <c r="B98" s="6">
        <v>15</v>
      </c>
      <c r="C98" s="6" t="s">
        <v>157</v>
      </c>
      <c r="D98" s="6" t="s">
        <v>15</v>
      </c>
      <c r="E98" s="6"/>
      <c r="F98" s="6" t="s">
        <v>158</v>
      </c>
      <c r="G98" s="6" t="s">
        <v>159</v>
      </c>
      <c r="H98" s="6">
        <v>12</v>
      </c>
      <c r="I98" s="6"/>
      <c r="J98" s="10" t="s">
        <v>24</v>
      </c>
      <c r="K98" s="28"/>
      <c r="L98" s="6"/>
      <c r="M98" s="6"/>
      <c r="N98" s="6"/>
      <c r="O98" s="6"/>
    </row>
    <row r="99" spans="2:15">
      <c r="B99" s="6"/>
      <c r="C99" s="6"/>
      <c r="D99" s="6"/>
      <c r="E99" s="6"/>
      <c r="F99" s="6" t="s">
        <v>158</v>
      </c>
      <c r="G99" s="6" t="s">
        <v>160</v>
      </c>
      <c r="H99" s="6">
        <v>7</v>
      </c>
      <c r="I99" s="6"/>
      <c r="J99" s="10" t="s">
        <v>24</v>
      </c>
      <c r="K99" s="28"/>
      <c r="L99" s="6"/>
      <c r="M99" s="6"/>
      <c r="N99" s="6"/>
      <c r="O99" s="6"/>
    </row>
    <row r="100" spans="2:15">
      <c r="B100" s="6"/>
      <c r="C100" s="6"/>
      <c r="D100" s="6"/>
      <c r="E100" s="6"/>
      <c r="F100" s="6" t="s">
        <v>158</v>
      </c>
      <c r="G100" s="6" t="s">
        <v>161</v>
      </c>
      <c r="H100" s="6">
        <v>6</v>
      </c>
      <c r="I100" s="6"/>
      <c r="J100" s="10" t="s">
        <v>24</v>
      </c>
      <c r="K100" s="28"/>
      <c r="L100" s="6"/>
      <c r="M100" s="6"/>
      <c r="N100" s="6"/>
      <c r="O100" s="6"/>
    </row>
    <row r="101" spans="2:15">
      <c r="B101" s="6"/>
      <c r="C101" s="6"/>
      <c r="D101" s="6"/>
      <c r="E101" s="6"/>
      <c r="F101" s="6" t="s">
        <v>158</v>
      </c>
      <c r="G101" s="6" t="s">
        <v>162</v>
      </c>
      <c r="H101" s="6">
        <v>8</v>
      </c>
      <c r="I101" s="6"/>
      <c r="J101" s="10" t="s">
        <v>24</v>
      </c>
      <c r="K101" s="28"/>
      <c r="L101" s="6"/>
      <c r="M101" s="6"/>
      <c r="N101" s="6"/>
      <c r="O101" s="6"/>
    </row>
    <row r="102" spans="2:15">
      <c r="B102" s="6"/>
      <c r="C102" s="6"/>
      <c r="D102" s="6"/>
      <c r="E102" s="6"/>
      <c r="F102" s="6" t="s">
        <v>163</v>
      </c>
      <c r="G102" s="6" t="s">
        <v>164</v>
      </c>
      <c r="H102" s="6">
        <v>5</v>
      </c>
      <c r="I102" s="6"/>
      <c r="J102" s="10" t="s">
        <v>24</v>
      </c>
      <c r="K102" s="28"/>
      <c r="L102" s="6"/>
      <c r="M102" s="6"/>
      <c r="N102" s="6"/>
      <c r="O102" s="6"/>
    </row>
    <row r="103" spans="2:15">
      <c r="B103" s="6"/>
      <c r="C103" s="6"/>
      <c r="D103" s="6"/>
      <c r="E103" s="6"/>
      <c r="F103" s="6" t="s">
        <v>163</v>
      </c>
      <c r="G103" s="6" t="s">
        <v>165</v>
      </c>
      <c r="H103" s="6">
        <v>10</v>
      </c>
      <c r="I103" s="6"/>
      <c r="J103" s="10" t="s">
        <v>24</v>
      </c>
      <c r="K103" s="28"/>
      <c r="L103" s="6"/>
      <c r="M103" s="6"/>
      <c r="N103" s="6"/>
      <c r="O103" s="6"/>
    </row>
    <row r="104" spans="2:15">
      <c r="B104" s="6"/>
      <c r="C104" s="6"/>
      <c r="D104" s="6"/>
      <c r="E104" s="6"/>
      <c r="F104" s="6" t="s">
        <v>163</v>
      </c>
      <c r="G104" s="6" t="s">
        <v>166</v>
      </c>
      <c r="H104" s="6">
        <v>14</v>
      </c>
      <c r="I104" s="6"/>
      <c r="J104" s="10" t="s">
        <v>24</v>
      </c>
      <c r="K104" s="28"/>
      <c r="L104" s="6"/>
      <c r="M104" s="6"/>
      <c r="N104" s="6"/>
      <c r="O104" s="6"/>
    </row>
    <row r="105" spans="2:15">
      <c r="B105" s="6"/>
      <c r="C105" s="6"/>
      <c r="D105" s="6"/>
      <c r="E105" s="6"/>
      <c r="F105" s="6" t="s">
        <v>167</v>
      </c>
      <c r="G105" s="6" t="s">
        <v>168</v>
      </c>
      <c r="H105" s="6">
        <v>3</v>
      </c>
      <c r="I105" s="6"/>
      <c r="J105" s="10" t="s">
        <v>24</v>
      </c>
      <c r="K105" s="28"/>
      <c r="L105" s="6"/>
      <c r="M105" s="6"/>
      <c r="N105" s="6"/>
      <c r="O105" s="6"/>
    </row>
    <row r="106" spans="2:15">
      <c r="B106" s="6"/>
      <c r="C106" s="6"/>
      <c r="D106" s="6"/>
      <c r="E106" s="6"/>
      <c r="F106" s="6" t="s">
        <v>167</v>
      </c>
      <c r="G106" s="6" t="s">
        <v>169</v>
      </c>
      <c r="H106" s="6">
        <v>3</v>
      </c>
      <c r="I106" s="6"/>
      <c r="J106" s="10" t="s">
        <v>24</v>
      </c>
      <c r="K106" s="28"/>
      <c r="L106" s="6"/>
      <c r="M106" s="6"/>
      <c r="N106" s="6"/>
      <c r="O106" s="6"/>
    </row>
    <row r="107" spans="2:15">
      <c r="B107" s="6"/>
      <c r="C107" s="6"/>
      <c r="D107" s="6"/>
      <c r="E107" s="6"/>
      <c r="F107" s="6"/>
      <c r="G107" s="6" t="s">
        <v>170</v>
      </c>
      <c r="H107" s="9">
        <v>9</v>
      </c>
      <c r="I107" s="6"/>
      <c r="J107" s="9" t="s">
        <v>18</v>
      </c>
      <c r="K107" s="28"/>
      <c r="L107" s="6"/>
      <c r="M107" s="6"/>
      <c r="N107" s="6" t="s">
        <v>171</v>
      </c>
      <c r="O107" s="6"/>
    </row>
    <row r="108" spans="2:15">
      <c r="B108" s="6"/>
      <c r="C108" s="6"/>
      <c r="D108" s="6"/>
      <c r="E108" s="6"/>
      <c r="F108" s="6"/>
      <c r="G108" s="6" t="s">
        <v>166</v>
      </c>
      <c r="H108" s="9">
        <v>14</v>
      </c>
      <c r="I108" s="6"/>
      <c r="J108" s="9" t="s">
        <v>18</v>
      </c>
      <c r="K108" s="28"/>
      <c r="L108" s="6"/>
      <c r="M108" s="6"/>
      <c r="N108" s="6" t="s">
        <v>172</v>
      </c>
      <c r="O108" s="6"/>
    </row>
    <row r="109" spans="2:15">
      <c r="B109" s="6">
        <v>16</v>
      </c>
      <c r="C109" s="6" t="s">
        <v>173</v>
      </c>
      <c r="D109" s="6" t="s">
        <v>15</v>
      </c>
      <c r="E109" s="6"/>
      <c r="F109" s="6" t="s">
        <v>158</v>
      </c>
      <c r="G109" s="6" t="s">
        <v>174</v>
      </c>
      <c r="H109" s="9">
        <v>13</v>
      </c>
      <c r="I109" s="9"/>
      <c r="J109" s="9" t="s">
        <v>18</v>
      </c>
      <c r="K109" s="28"/>
      <c r="L109" s="6"/>
      <c r="M109" s="6"/>
      <c r="N109" s="6" t="s">
        <v>175</v>
      </c>
      <c r="O109" s="6"/>
    </row>
    <row r="110" spans="2:15">
      <c r="B110" s="6"/>
      <c r="C110" s="6"/>
      <c r="D110" s="6"/>
      <c r="E110" s="6"/>
      <c r="F110" s="6" t="s">
        <v>158</v>
      </c>
      <c r="G110" s="6" t="s">
        <v>176</v>
      </c>
      <c r="H110" s="9">
        <v>5</v>
      </c>
      <c r="I110" s="9"/>
      <c r="J110" s="9" t="s">
        <v>18</v>
      </c>
      <c r="K110" s="28"/>
      <c r="L110" s="6"/>
      <c r="M110" s="6"/>
      <c r="N110" s="6" t="s">
        <v>175</v>
      </c>
      <c r="O110" s="6"/>
    </row>
    <row r="111" spans="2:15">
      <c r="B111" s="6"/>
      <c r="C111" s="6"/>
      <c r="D111" s="6"/>
      <c r="E111" s="6"/>
      <c r="F111" s="6" t="s">
        <v>158</v>
      </c>
      <c r="G111" s="6" t="s">
        <v>177</v>
      </c>
      <c r="H111" s="6">
        <v>5</v>
      </c>
      <c r="I111" s="6"/>
      <c r="J111" s="7" t="s">
        <v>21</v>
      </c>
      <c r="K111" s="28"/>
      <c r="L111" s="6"/>
      <c r="M111" s="6"/>
      <c r="N111" s="6"/>
      <c r="O111" s="6"/>
    </row>
    <row r="112" spans="2:15">
      <c r="B112" s="6"/>
      <c r="C112" s="6"/>
      <c r="D112" s="6"/>
      <c r="E112" s="6"/>
      <c r="F112" s="6" t="s">
        <v>158</v>
      </c>
      <c r="G112" s="6" t="s">
        <v>178</v>
      </c>
      <c r="H112" s="6">
        <v>3</v>
      </c>
      <c r="I112" s="6"/>
      <c r="J112" s="10" t="s">
        <v>24</v>
      </c>
      <c r="K112" s="28"/>
      <c r="L112" s="6"/>
      <c r="M112" s="6"/>
      <c r="N112" s="6"/>
      <c r="O112" s="6"/>
    </row>
    <row r="113" spans="2:15">
      <c r="B113" s="6"/>
      <c r="C113" s="6"/>
      <c r="D113" s="6"/>
      <c r="E113" s="6"/>
      <c r="F113" s="6" t="s">
        <v>158</v>
      </c>
      <c r="G113" s="6" t="s">
        <v>179</v>
      </c>
      <c r="H113" s="6">
        <v>4</v>
      </c>
      <c r="I113" s="6"/>
      <c r="J113" s="10" t="s">
        <v>24</v>
      </c>
      <c r="K113" s="28"/>
      <c r="L113" s="6"/>
      <c r="M113" s="6"/>
      <c r="N113" s="6"/>
      <c r="O113" s="6"/>
    </row>
    <row r="114" spans="2:15">
      <c r="B114" s="6"/>
      <c r="C114" s="6"/>
      <c r="D114" s="6"/>
      <c r="E114" s="6"/>
      <c r="F114" s="6" t="s">
        <v>158</v>
      </c>
      <c r="G114" s="6" t="s">
        <v>180</v>
      </c>
      <c r="H114" s="6">
        <v>5</v>
      </c>
      <c r="I114" s="6"/>
      <c r="J114" s="7" t="s">
        <v>21</v>
      </c>
      <c r="K114" s="28"/>
      <c r="L114" s="6"/>
      <c r="M114" s="6"/>
      <c r="N114" s="6"/>
      <c r="O114" s="6"/>
    </row>
    <row r="115" spans="2:15">
      <c r="B115" s="6"/>
      <c r="C115" s="6"/>
      <c r="D115" s="6"/>
      <c r="E115" s="6"/>
      <c r="F115" s="6" t="s">
        <v>158</v>
      </c>
      <c r="G115" s="6" t="s">
        <v>181</v>
      </c>
      <c r="H115" s="6">
        <v>9</v>
      </c>
      <c r="I115" s="6"/>
      <c r="J115" s="10" t="s">
        <v>24</v>
      </c>
      <c r="K115" s="28"/>
      <c r="L115" s="6"/>
      <c r="M115" s="6"/>
      <c r="N115" s="6"/>
      <c r="O115" s="6"/>
    </row>
    <row r="116" spans="2:15">
      <c r="B116" s="6"/>
      <c r="C116" s="6"/>
      <c r="D116" s="6"/>
      <c r="E116" s="6"/>
      <c r="F116" s="6" t="s">
        <v>163</v>
      </c>
      <c r="G116" s="6" t="s">
        <v>182</v>
      </c>
      <c r="H116" s="6">
        <v>2</v>
      </c>
      <c r="I116" s="6"/>
      <c r="J116" s="7" t="s">
        <v>21</v>
      </c>
      <c r="K116" s="28"/>
      <c r="L116" s="6"/>
      <c r="M116" s="6"/>
      <c r="N116" s="6"/>
      <c r="O116" s="6"/>
    </row>
    <row r="117" spans="2:15">
      <c r="B117" s="6"/>
      <c r="C117" s="6"/>
      <c r="D117" s="6"/>
      <c r="E117" s="6"/>
      <c r="F117" s="6" t="s">
        <v>163</v>
      </c>
      <c r="G117" s="6" t="s">
        <v>183</v>
      </c>
      <c r="H117" s="6">
        <v>2</v>
      </c>
      <c r="I117" s="6"/>
      <c r="J117" s="10" t="s">
        <v>24</v>
      </c>
      <c r="K117" s="28"/>
      <c r="L117" s="6"/>
      <c r="M117" s="6"/>
      <c r="N117" s="6"/>
      <c r="O117" s="6"/>
    </row>
    <row r="118" spans="2:15">
      <c r="B118" s="6"/>
      <c r="C118" s="6"/>
      <c r="D118" s="6"/>
      <c r="E118" s="6"/>
      <c r="F118" s="6" t="s">
        <v>163</v>
      </c>
      <c r="G118" s="6" t="s">
        <v>184</v>
      </c>
      <c r="H118" s="6">
        <v>8</v>
      </c>
      <c r="I118" s="6"/>
      <c r="J118" s="10" t="s">
        <v>24</v>
      </c>
      <c r="K118" s="28"/>
      <c r="L118" s="6"/>
      <c r="M118" s="6"/>
      <c r="N118" s="6"/>
      <c r="O118" s="6"/>
    </row>
    <row r="119" spans="2:15">
      <c r="B119" s="6"/>
      <c r="C119" s="6"/>
      <c r="D119" s="6"/>
      <c r="E119" s="6"/>
      <c r="F119" s="6" t="s">
        <v>163</v>
      </c>
      <c r="G119" s="6" t="s">
        <v>185</v>
      </c>
      <c r="H119" s="6">
        <v>3</v>
      </c>
      <c r="I119" s="6"/>
      <c r="J119" s="10" t="s">
        <v>24</v>
      </c>
      <c r="K119" s="28"/>
      <c r="L119" s="6"/>
      <c r="M119" s="6"/>
      <c r="N119" s="6"/>
      <c r="O119" s="6"/>
    </row>
    <row r="120" spans="2:15">
      <c r="B120" s="6"/>
      <c r="C120" s="6"/>
      <c r="D120" s="6"/>
      <c r="E120" s="6"/>
      <c r="F120" s="6" t="s">
        <v>163</v>
      </c>
      <c r="G120" s="6" t="s">
        <v>186</v>
      </c>
      <c r="H120" s="6">
        <v>12</v>
      </c>
      <c r="I120" s="6"/>
      <c r="J120" s="10" t="s">
        <v>24</v>
      </c>
      <c r="K120" s="28"/>
      <c r="L120" s="6"/>
      <c r="M120" s="6"/>
      <c r="N120" s="6"/>
      <c r="O120" s="6"/>
    </row>
    <row r="121" spans="2:15">
      <c r="B121" s="6">
        <v>17</v>
      </c>
      <c r="C121" s="6" t="s">
        <v>187</v>
      </c>
      <c r="D121" s="6" t="s">
        <v>15</v>
      </c>
      <c r="E121" s="6"/>
      <c r="F121" s="6" t="s">
        <v>158</v>
      </c>
      <c r="G121" s="6" t="s">
        <v>188</v>
      </c>
      <c r="H121" s="6">
        <v>6</v>
      </c>
      <c r="I121" s="6"/>
      <c r="J121" s="7" t="s">
        <v>21</v>
      </c>
      <c r="K121" s="28"/>
      <c r="L121" s="6"/>
      <c r="M121" s="6"/>
      <c r="N121" s="6"/>
      <c r="O121" s="6"/>
    </row>
    <row r="122" spans="2:15">
      <c r="B122" s="6"/>
      <c r="C122" s="6"/>
      <c r="D122" s="6"/>
      <c r="E122" s="6"/>
      <c r="F122" s="6" t="s">
        <v>158</v>
      </c>
      <c r="G122" s="6" t="s">
        <v>189</v>
      </c>
      <c r="H122" s="9">
        <v>10</v>
      </c>
      <c r="I122" s="6"/>
      <c r="J122" s="9" t="s">
        <v>18</v>
      </c>
      <c r="K122" s="28"/>
      <c r="L122" s="6"/>
      <c r="M122" s="6"/>
      <c r="N122" s="6" t="s">
        <v>190</v>
      </c>
      <c r="O122" s="6"/>
    </row>
    <row r="123" spans="2:15">
      <c r="B123" s="6"/>
      <c r="C123" s="6"/>
      <c r="D123" s="6"/>
      <c r="E123" s="6"/>
      <c r="F123" s="6" t="s">
        <v>163</v>
      </c>
      <c r="G123" s="6" t="s">
        <v>191</v>
      </c>
      <c r="H123" s="6">
        <v>5</v>
      </c>
      <c r="I123" s="6"/>
      <c r="J123" s="7" t="s">
        <v>21</v>
      </c>
      <c r="K123" s="28"/>
      <c r="L123" s="6"/>
      <c r="M123" s="6"/>
      <c r="N123" s="6"/>
      <c r="O123" s="6"/>
    </row>
    <row r="124" spans="2:15">
      <c r="B124" s="6"/>
      <c r="C124" s="6"/>
      <c r="D124" s="6"/>
      <c r="E124" s="6"/>
      <c r="F124" s="6" t="s">
        <v>163</v>
      </c>
      <c r="G124" s="6" t="s">
        <v>192</v>
      </c>
      <c r="H124" s="9">
        <v>19</v>
      </c>
      <c r="I124" s="6"/>
      <c r="J124" s="9" t="s">
        <v>18</v>
      </c>
      <c r="K124" s="28"/>
      <c r="L124" s="6"/>
      <c r="M124" s="6"/>
      <c r="N124" s="6" t="s">
        <v>193</v>
      </c>
      <c r="O124" s="6"/>
    </row>
    <row r="125" spans="2:15">
      <c r="B125" s="6">
        <v>18</v>
      </c>
      <c r="C125" s="6" t="s">
        <v>194</v>
      </c>
      <c r="D125" s="6" t="s">
        <v>15</v>
      </c>
      <c r="E125" s="6"/>
      <c r="F125" s="6" t="s">
        <v>158</v>
      </c>
      <c r="G125" s="6" t="s">
        <v>195</v>
      </c>
      <c r="H125" s="9">
        <v>31</v>
      </c>
      <c r="I125" s="6"/>
      <c r="J125" s="9" t="s">
        <v>18</v>
      </c>
      <c r="K125" s="28"/>
      <c r="L125" s="6"/>
      <c r="M125" s="6"/>
      <c r="N125" s="6" t="s">
        <v>196</v>
      </c>
      <c r="O125" s="6"/>
    </row>
    <row r="126" spans="2:15">
      <c r="B126" s="6"/>
      <c r="C126" s="6"/>
      <c r="D126" s="6"/>
      <c r="E126" s="6"/>
      <c r="F126" s="6" t="s">
        <v>158</v>
      </c>
      <c r="G126" s="6" t="s">
        <v>197</v>
      </c>
      <c r="H126" s="6">
        <v>3</v>
      </c>
      <c r="I126" s="6"/>
      <c r="J126" s="10" t="s">
        <v>24</v>
      </c>
      <c r="K126" s="28"/>
      <c r="L126" s="6"/>
      <c r="M126" s="6"/>
      <c r="N126" s="6"/>
      <c r="O126" s="6"/>
    </row>
    <row r="127" spans="2:15">
      <c r="B127" s="6"/>
      <c r="C127" s="6"/>
      <c r="D127" s="6"/>
      <c r="E127" s="6"/>
      <c r="F127" s="6" t="s">
        <v>163</v>
      </c>
      <c r="G127" s="6" t="s">
        <v>198</v>
      </c>
      <c r="H127" s="6">
        <v>5</v>
      </c>
      <c r="I127" s="6"/>
      <c r="J127" s="7" t="s">
        <v>21</v>
      </c>
      <c r="K127" s="28"/>
      <c r="L127" s="6"/>
      <c r="M127" s="6"/>
      <c r="N127" s="6"/>
      <c r="O127" s="6"/>
    </row>
    <row r="128" spans="2:15">
      <c r="B128" s="6"/>
      <c r="C128" s="6"/>
      <c r="D128" s="6"/>
      <c r="E128" s="6"/>
      <c r="F128" s="6" t="s">
        <v>163</v>
      </c>
      <c r="G128" s="6" t="s">
        <v>199</v>
      </c>
      <c r="H128" s="6">
        <v>3</v>
      </c>
      <c r="I128" s="6"/>
      <c r="J128" s="7" t="s">
        <v>21</v>
      </c>
      <c r="K128" s="28"/>
      <c r="L128" s="6"/>
      <c r="M128" s="6"/>
      <c r="N128" s="6"/>
      <c r="O128" s="6"/>
    </row>
    <row r="129" spans="2:15">
      <c r="B129" s="6">
        <v>19</v>
      </c>
      <c r="C129" s="6" t="s">
        <v>200</v>
      </c>
      <c r="D129" s="6" t="s">
        <v>15</v>
      </c>
      <c r="E129" s="6"/>
      <c r="F129" s="6" t="s">
        <v>158</v>
      </c>
      <c r="G129" s="6" t="s">
        <v>201</v>
      </c>
      <c r="H129" s="6">
        <v>4</v>
      </c>
      <c r="I129" s="6"/>
      <c r="J129" s="7" t="s">
        <v>21</v>
      </c>
      <c r="K129" s="6"/>
      <c r="L129" s="6"/>
      <c r="M129" s="6"/>
      <c r="N129" s="6"/>
      <c r="O129" s="6"/>
    </row>
    <row r="130" spans="2:15">
      <c r="B130" s="6"/>
      <c r="C130" s="6"/>
      <c r="D130" s="6"/>
      <c r="E130" s="6"/>
      <c r="F130" s="6" t="s">
        <v>163</v>
      </c>
      <c r="G130" s="6" t="s">
        <v>202</v>
      </c>
      <c r="H130" s="9">
        <v>4</v>
      </c>
      <c r="I130" s="9"/>
      <c r="J130" s="9" t="s">
        <v>18</v>
      </c>
      <c r="K130" s="6"/>
      <c r="L130" s="6"/>
      <c r="M130" s="6"/>
      <c r="N130" s="6"/>
      <c r="O130" s="6"/>
    </row>
    <row r="131" spans="2:15">
      <c r="B131" s="6">
        <v>20</v>
      </c>
      <c r="C131" s="6" t="s">
        <v>203</v>
      </c>
      <c r="D131" s="6" t="s">
        <v>103</v>
      </c>
      <c r="E131" s="6" t="s">
        <v>54</v>
      </c>
      <c r="F131" s="6" t="s">
        <v>204</v>
      </c>
      <c r="G131" s="6" t="s">
        <v>205</v>
      </c>
      <c r="H131" s="6">
        <v>25</v>
      </c>
      <c r="I131" s="6"/>
      <c r="J131" s="10" t="s">
        <v>24</v>
      </c>
      <c r="K131" s="6"/>
      <c r="L131" s="6">
        <v>97</v>
      </c>
      <c r="M131" s="12">
        <v>37531</v>
      </c>
      <c r="N131" s="6"/>
      <c r="O131" s="6"/>
    </row>
    <row r="132" spans="2:15">
      <c r="B132" s="6"/>
      <c r="C132" s="6"/>
      <c r="D132" s="6"/>
      <c r="E132" s="6" t="s">
        <v>54</v>
      </c>
      <c r="F132" s="6" t="s">
        <v>206</v>
      </c>
      <c r="G132" s="6" t="s">
        <v>207</v>
      </c>
      <c r="H132" s="6">
        <v>15</v>
      </c>
      <c r="I132" s="6"/>
      <c r="J132" s="10" t="s">
        <v>24</v>
      </c>
      <c r="K132" s="6"/>
      <c r="L132" s="6">
        <v>80</v>
      </c>
      <c r="M132" s="12">
        <v>37531</v>
      </c>
      <c r="N132" s="6"/>
      <c r="O132" s="6"/>
    </row>
    <row r="133" spans="2:15">
      <c r="B133" s="6"/>
      <c r="C133" s="6"/>
      <c r="D133" s="6"/>
      <c r="E133" s="6" t="s">
        <v>54</v>
      </c>
      <c r="F133" s="6" t="s">
        <v>208</v>
      </c>
      <c r="G133" s="6" t="s">
        <v>209</v>
      </c>
      <c r="H133" s="6">
        <v>50</v>
      </c>
      <c r="I133" s="6"/>
      <c r="J133" s="10" t="s">
        <v>24</v>
      </c>
      <c r="K133" s="6"/>
      <c r="L133" s="6"/>
      <c r="M133" s="6"/>
      <c r="N133" s="6"/>
      <c r="O133" s="6"/>
    </row>
    <row r="134" spans="2:15">
      <c r="B134" s="6"/>
      <c r="C134" s="6"/>
      <c r="D134" s="6"/>
      <c r="E134" s="6" t="s">
        <v>54</v>
      </c>
      <c r="F134" s="6" t="s">
        <v>208</v>
      </c>
      <c r="G134" s="6" t="s">
        <v>210</v>
      </c>
      <c r="H134" s="6">
        <v>1</v>
      </c>
      <c r="I134" s="6"/>
      <c r="J134" s="10" t="s">
        <v>24</v>
      </c>
      <c r="K134" s="6"/>
      <c r="L134" s="6"/>
      <c r="M134" s="6"/>
      <c r="N134" s="6"/>
      <c r="O134" s="6"/>
    </row>
    <row r="135" spans="2:15">
      <c r="B135" s="6"/>
      <c r="C135" s="6"/>
      <c r="D135" s="6"/>
      <c r="E135" s="6" t="s">
        <v>61</v>
      </c>
      <c r="F135" s="6" t="s">
        <v>211</v>
      </c>
      <c r="G135" s="6" t="s">
        <v>212</v>
      </c>
      <c r="H135" s="6">
        <v>2</v>
      </c>
      <c r="I135" s="6"/>
      <c r="J135" s="10" t="s">
        <v>24</v>
      </c>
      <c r="K135" s="6"/>
      <c r="L135" s="6"/>
      <c r="M135" s="6"/>
      <c r="N135" s="6"/>
      <c r="O135" s="6"/>
    </row>
    <row r="136" spans="2:15">
      <c r="B136" s="6"/>
      <c r="C136" s="6"/>
      <c r="D136" s="6"/>
      <c r="E136" s="6" t="s">
        <v>61</v>
      </c>
      <c r="F136" s="6" t="s">
        <v>213</v>
      </c>
      <c r="G136" s="6" t="s">
        <v>214</v>
      </c>
      <c r="H136" s="6">
        <v>20</v>
      </c>
      <c r="I136" s="6"/>
      <c r="J136" s="10" t="s">
        <v>24</v>
      </c>
      <c r="K136" s="6"/>
      <c r="L136" s="6">
        <v>98</v>
      </c>
      <c r="M136" s="12">
        <v>37531</v>
      </c>
      <c r="N136" s="6"/>
      <c r="O136" s="6"/>
    </row>
    <row r="137" spans="2:15">
      <c r="B137" s="6"/>
      <c r="C137" s="6"/>
      <c r="D137" s="6"/>
      <c r="E137" s="6" t="s">
        <v>61</v>
      </c>
      <c r="F137" s="6" t="s">
        <v>213</v>
      </c>
      <c r="G137" s="6" t="s">
        <v>215</v>
      </c>
      <c r="H137" s="6">
        <v>2</v>
      </c>
      <c r="I137" s="6"/>
      <c r="J137" s="10" t="s">
        <v>24</v>
      </c>
      <c r="K137" s="6"/>
      <c r="L137" s="6"/>
      <c r="M137" s="6"/>
      <c r="N137" s="6"/>
      <c r="O137" s="6"/>
    </row>
    <row r="138" spans="2:15">
      <c r="B138" s="6"/>
      <c r="C138" s="6"/>
      <c r="D138" s="6"/>
      <c r="E138" s="6" t="s">
        <v>61</v>
      </c>
      <c r="F138" s="6" t="s">
        <v>216</v>
      </c>
      <c r="G138" s="6" t="s">
        <v>217</v>
      </c>
      <c r="H138" s="6">
        <v>24</v>
      </c>
      <c r="I138" s="6"/>
      <c r="J138" s="10" t="s">
        <v>24</v>
      </c>
      <c r="K138" s="6"/>
      <c r="L138" s="6"/>
      <c r="M138" s="6"/>
      <c r="N138" s="6"/>
      <c r="O138" s="6"/>
    </row>
    <row r="139" spans="2:15">
      <c r="B139" s="6"/>
      <c r="C139" s="6"/>
      <c r="D139" s="6"/>
      <c r="E139" s="6" t="s">
        <v>61</v>
      </c>
      <c r="F139" s="6" t="s">
        <v>216</v>
      </c>
      <c r="G139" s="6" t="s">
        <v>218</v>
      </c>
      <c r="H139" s="6">
        <v>2</v>
      </c>
      <c r="I139" s="6"/>
      <c r="J139" s="10" t="s">
        <v>24</v>
      </c>
      <c r="K139" s="6"/>
      <c r="L139" s="6"/>
      <c r="M139" s="6"/>
      <c r="N139" s="6"/>
      <c r="O139" s="6"/>
    </row>
    <row r="140" spans="2:15">
      <c r="B140" s="6"/>
      <c r="C140" s="6"/>
      <c r="D140" s="6"/>
      <c r="E140" s="6" t="s">
        <v>16</v>
      </c>
      <c r="F140" s="6" t="s">
        <v>219</v>
      </c>
      <c r="G140" s="6" t="s">
        <v>220</v>
      </c>
      <c r="H140" s="6">
        <v>10</v>
      </c>
      <c r="I140" s="6"/>
      <c r="J140" s="10" t="s">
        <v>24</v>
      </c>
      <c r="K140" s="6"/>
      <c r="L140" s="6"/>
      <c r="M140" s="6"/>
      <c r="N140" s="6"/>
      <c r="O140" s="6"/>
    </row>
    <row r="141" spans="2:15">
      <c r="B141" s="6"/>
      <c r="C141" s="6"/>
      <c r="D141" s="6"/>
      <c r="E141" s="6" t="s">
        <v>16</v>
      </c>
      <c r="F141" s="6" t="s">
        <v>219</v>
      </c>
      <c r="G141" s="6" t="s">
        <v>221</v>
      </c>
      <c r="H141" s="6">
        <v>10</v>
      </c>
      <c r="I141" s="6"/>
      <c r="J141" s="10" t="s">
        <v>24</v>
      </c>
      <c r="K141" s="6"/>
      <c r="L141" s="6">
        <v>100</v>
      </c>
      <c r="M141" s="12">
        <v>37531</v>
      </c>
      <c r="N141" s="6"/>
      <c r="O141" s="6"/>
    </row>
    <row r="142" spans="2:15">
      <c r="B142" s="6"/>
      <c r="C142" s="6"/>
      <c r="D142" s="6"/>
      <c r="E142" s="6" t="s">
        <v>16</v>
      </c>
      <c r="F142" s="6" t="s">
        <v>222</v>
      </c>
      <c r="G142" s="6" t="s">
        <v>223</v>
      </c>
      <c r="H142" s="6">
        <v>20</v>
      </c>
      <c r="I142" s="6"/>
      <c r="J142" s="7" t="s">
        <v>21</v>
      </c>
      <c r="K142" s="6"/>
      <c r="L142" s="6"/>
      <c r="M142" s="6"/>
      <c r="N142" s="6"/>
      <c r="O142" s="6"/>
    </row>
    <row r="143" spans="2:15">
      <c r="B143" s="6"/>
      <c r="C143" s="6"/>
      <c r="D143" s="6"/>
      <c r="E143" s="6" t="s">
        <v>16</v>
      </c>
      <c r="F143" s="6" t="s">
        <v>224</v>
      </c>
      <c r="G143" s="6" t="s">
        <v>225</v>
      </c>
      <c r="H143" s="6">
        <v>23</v>
      </c>
      <c r="I143" s="6"/>
      <c r="J143" s="7" t="s">
        <v>21</v>
      </c>
      <c r="K143" s="6"/>
      <c r="L143" s="6"/>
      <c r="M143" s="6"/>
      <c r="N143" s="6"/>
      <c r="O143" s="6"/>
    </row>
    <row r="144" spans="2:15">
      <c r="B144" s="6"/>
      <c r="C144" s="6"/>
      <c r="D144" s="6"/>
      <c r="E144" s="6" t="s">
        <v>16</v>
      </c>
      <c r="F144" s="6"/>
      <c r="G144" s="6" t="s">
        <v>226</v>
      </c>
      <c r="H144" s="6">
        <v>8</v>
      </c>
      <c r="I144" s="6"/>
      <c r="J144" s="7" t="s">
        <v>21</v>
      </c>
      <c r="K144" s="6"/>
      <c r="L144" s="6"/>
      <c r="M144" s="6"/>
      <c r="N144" s="6"/>
      <c r="O144" s="6"/>
    </row>
    <row r="145" spans="2:15">
      <c r="B145" s="6"/>
      <c r="C145" s="6"/>
      <c r="D145" s="6"/>
      <c r="E145" s="6" t="s">
        <v>16</v>
      </c>
      <c r="F145" s="6"/>
      <c r="G145" s="6" t="s">
        <v>227</v>
      </c>
      <c r="H145" s="6">
        <v>18</v>
      </c>
      <c r="I145" s="6"/>
      <c r="J145" s="7" t="s">
        <v>21</v>
      </c>
      <c r="K145" s="6"/>
      <c r="L145" s="6"/>
      <c r="M145" s="6"/>
      <c r="N145" s="6"/>
      <c r="O145" s="6"/>
    </row>
    <row r="146" spans="2:15">
      <c r="B146" s="6">
        <v>21</v>
      </c>
      <c r="C146" s="6" t="s">
        <v>228</v>
      </c>
      <c r="D146" s="6" t="s">
        <v>103</v>
      </c>
      <c r="E146" s="6"/>
      <c r="F146" s="6"/>
      <c r="G146" s="6" t="s">
        <v>229</v>
      </c>
      <c r="H146" s="6">
        <v>1</v>
      </c>
      <c r="I146" s="6"/>
      <c r="J146" s="10" t="s">
        <v>24</v>
      </c>
      <c r="K146" s="6"/>
      <c r="L146" s="6"/>
      <c r="M146" s="6"/>
      <c r="N146" s="6"/>
      <c r="O146" s="6"/>
    </row>
    <row r="147" spans="2:15">
      <c r="B147" s="6"/>
      <c r="C147" s="6"/>
      <c r="D147" s="6"/>
      <c r="E147" s="6"/>
      <c r="F147" s="6"/>
      <c r="G147" s="6" t="s">
        <v>230</v>
      </c>
      <c r="H147" s="6">
        <v>11</v>
      </c>
      <c r="I147" s="6"/>
      <c r="J147" s="7" t="s">
        <v>21</v>
      </c>
      <c r="K147" s="6"/>
      <c r="L147" s="6"/>
      <c r="M147" s="6"/>
      <c r="N147" s="6"/>
      <c r="O147" s="6"/>
    </row>
    <row r="148" spans="2:15">
      <c r="B148" s="6"/>
      <c r="C148" s="6"/>
      <c r="D148" s="6"/>
      <c r="E148" s="6"/>
      <c r="F148" s="6"/>
      <c r="G148" s="6" t="s">
        <v>231</v>
      </c>
      <c r="H148" s="6">
        <v>1</v>
      </c>
      <c r="I148" s="6"/>
      <c r="J148" s="10" t="s">
        <v>24</v>
      </c>
      <c r="K148" s="6"/>
      <c r="L148" s="6"/>
      <c r="M148" s="6"/>
      <c r="N148" s="6"/>
      <c r="O148" s="6"/>
    </row>
    <row r="149" spans="2:15">
      <c r="B149" s="6"/>
      <c r="C149" s="6"/>
      <c r="D149" s="6"/>
      <c r="E149" s="6"/>
      <c r="F149" s="6"/>
      <c r="G149" s="6" t="s">
        <v>232</v>
      </c>
      <c r="H149" s="6">
        <v>6</v>
      </c>
      <c r="I149" s="6"/>
      <c r="J149" s="7" t="s">
        <v>21</v>
      </c>
      <c r="K149" s="6"/>
      <c r="L149" s="6"/>
      <c r="M149" s="6"/>
      <c r="N149" s="6"/>
      <c r="O149" s="6"/>
    </row>
    <row r="150" spans="2:15">
      <c r="B150" s="6"/>
      <c r="C150" s="6"/>
      <c r="D150" s="6"/>
      <c r="E150" s="6"/>
      <c r="F150" s="6"/>
      <c r="G150" s="6" t="s">
        <v>233</v>
      </c>
      <c r="H150" s="6">
        <v>16</v>
      </c>
      <c r="I150" s="6"/>
      <c r="J150" s="7" t="s">
        <v>21</v>
      </c>
      <c r="K150" s="6"/>
      <c r="L150" s="6"/>
      <c r="M150" s="6"/>
      <c r="N150" s="6"/>
      <c r="O150" s="6"/>
    </row>
    <row r="151" spans="2:15">
      <c r="B151" s="6"/>
      <c r="C151" s="6"/>
      <c r="D151" s="6"/>
      <c r="E151" s="6"/>
      <c r="F151" s="6"/>
      <c r="G151" s="6" t="s">
        <v>234</v>
      </c>
      <c r="H151" s="6">
        <v>1</v>
      </c>
      <c r="I151" s="6"/>
      <c r="J151" s="10" t="s">
        <v>24</v>
      </c>
      <c r="K151" s="6"/>
      <c r="L151" s="6"/>
      <c r="M151" s="6"/>
      <c r="N151" s="6"/>
      <c r="O151" s="6"/>
    </row>
    <row r="152" spans="2:15">
      <c r="B152" s="6"/>
      <c r="C152" s="6"/>
      <c r="D152" s="6"/>
      <c r="E152" s="6"/>
      <c r="F152" s="6"/>
      <c r="G152" s="6" t="s">
        <v>235</v>
      </c>
      <c r="H152" s="6">
        <v>16</v>
      </c>
      <c r="I152" s="6"/>
      <c r="J152" s="7" t="s">
        <v>21</v>
      </c>
      <c r="K152" s="6"/>
      <c r="L152" s="6"/>
      <c r="M152" s="6"/>
      <c r="N152" s="6"/>
      <c r="O152" s="6"/>
    </row>
    <row r="153" spans="2:15">
      <c r="B153" s="6"/>
      <c r="C153" s="6"/>
      <c r="D153" s="6"/>
      <c r="E153" s="6"/>
      <c r="F153" s="6"/>
      <c r="G153" s="6" t="s">
        <v>236</v>
      </c>
      <c r="H153" s="6">
        <v>6</v>
      </c>
      <c r="I153" s="6"/>
      <c r="J153" s="7" t="s">
        <v>21</v>
      </c>
      <c r="K153" s="6"/>
      <c r="L153" s="6"/>
      <c r="M153" s="6"/>
      <c r="N153" s="6"/>
      <c r="O153" s="6"/>
    </row>
    <row r="154" spans="2:15">
      <c r="B154" s="6"/>
      <c r="C154" s="6"/>
      <c r="D154" s="6"/>
      <c r="E154" s="6"/>
      <c r="F154" s="6"/>
      <c r="G154" s="6" t="s">
        <v>237</v>
      </c>
      <c r="H154" s="6">
        <v>1</v>
      </c>
      <c r="I154" s="6"/>
      <c r="J154" s="10" t="s">
        <v>24</v>
      </c>
      <c r="K154" s="6"/>
      <c r="L154" s="6"/>
      <c r="M154" s="6"/>
      <c r="N154" s="6"/>
      <c r="O154" s="6"/>
    </row>
    <row r="155" spans="2:15">
      <c r="B155" s="6">
        <v>22</v>
      </c>
      <c r="C155" s="6" t="s">
        <v>238</v>
      </c>
      <c r="D155" s="6" t="s">
        <v>103</v>
      </c>
      <c r="E155" s="6" t="s">
        <v>54</v>
      </c>
      <c r="F155" s="6">
        <v>4650</v>
      </c>
      <c r="G155" s="6" t="s">
        <v>239</v>
      </c>
      <c r="H155" s="9">
        <v>16</v>
      </c>
      <c r="I155" s="9"/>
      <c r="J155" s="9" t="s">
        <v>18</v>
      </c>
      <c r="K155" s="28"/>
      <c r="L155" s="6"/>
      <c r="M155" s="6"/>
      <c r="N155" s="24" t="s">
        <v>240</v>
      </c>
      <c r="O155" s="6"/>
    </row>
    <row r="156" spans="2:15">
      <c r="B156" s="6"/>
      <c r="C156" s="6"/>
      <c r="D156" s="6"/>
      <c r="E156" s="6" t="s">
        <v>54</v>
      </c>
      <c r="F156" s="6">
        <v>4650</v>
      </c>
      <c r="G156" s="6" t="s">
        <v>241</v>
      </c>
      <c r="H156" s="9">
        <v>3</v>
      </c>
      <c r="I156" s="9"/>
      <c r="J156" s="9" t="s">
        <v>18</v>
      </c>
      <c r="K156" s="28"/>
      <c r="L156" s="6"/>
      <c r="M156" s="6"/>
      <c r="N156" s="24"/>
      <c r="O156" s="6"/>
    </row>
    <row r="157" spans="2:15">
      <c r="B157" s="6"/>
      <c r="C157" s="6"/>
      <c r="D157" s="6"/>
      <c r="E157" s="6" t="s">
        <v>54</v>
      </c>
      <c r="F157" s="6">
        <v>4750</v>
      </c>
      <c r="G157" s="6" t="s">
        <v>242</v>
      </c>
      <c r="H157" s="9">
        <v>10</v>
      </c>
      <c r="I157" s="9"/>
      <c r="J157" s="9" t="s">
        <v>18</v>
      </c>
      <c r="K157" s="28"/>
      <c r="L157" s="6"/>
      <c r="M157" s="6"/>
      <c r="N157" s="6" t="s">
        <v>243</v>
      </c>
      <c r="O157" s="6"/>
    </row>
    <row r="158" spans="2:15">
      <c r="B158" s="6"/>
      <c r="C158" s="6"/>
      <c r="D158" s="6"/>
      <c r="E158" s="6" t="s">
        <v>61</v>
      </c>
      <c r="F158" s="6" t="s">
        <v>244</v>
      </c>
      <c r="G158" s="6" t="s">
        <v>245</v>
      </c>
      <c r="H158" s="6">
        <v>15</v>
      </c>
      <c r="I158" s="6"/>
      <c r="J158" s="10" t="s">
        <v>24</v>
      </c>
      <c r="K158" s="28"/>
      <c r="L158" s="6"/>
      <c r="M158" s="6"/>
      <c r="N158" s="6"/>
      <c r="O158" s="6"/>
    </row>
    <row r="159" spans="2:15">
      <c r="B159" s="6"/>
      <c r="C159" s="6"/>
      <c r="D159" s="6"/>
      <c r="E159" s="6" t="s">
        <v>61</v>
      </c>
      <c r="F159" s="6" t="s">
        <v>246</v>
      </c>
      <c r="G159" s="6" t="s">
        <v>247</v>
      </c>
      <c r="H159" s="6">
        <v>6</v>
      </c>
      <c r="I159" s="6"/>
      <c r="J159" s="7" t="s">
        <v>21</v>
      </c>
      <c r="K159" s="28"/>
      <c r="L159" s="6"/>
      <c r="M159" s="6"/>
      <c r="N159" s="6"/>
      <c r="O159" s="6"/>
    </row>
    <row r="160" spans="2:15">
      <c r="B160" s="6"/>
      <c r="C160" s="6"/>
      <c r="D160" s="6"/>
      <c r="E160" s="6" t="s">
        <v>61</v>
      </c>
      <c r="F160" s="6">
        <v>5100</v>
      </c>
      <c r="G160" s="6" t="s">
        <v>248</v>
      </c>
      <c r="H160" s="6">
        <v>14</v>
      </c>
      <c r="I160" s="6"/>
      <c r="J160" s="10" t="s">
        <v>24</v>
      </c>
      <c r="K160" s="28"/>
      <c r="L160" s="6"/>
      <c r="M160" s="6"/>
      <c r="N160" s="6"/>
      <c r="O160" s="6"/>
    </row>
    <row r="161" spans="2:15">
      <c r="B161" s="6"/>
      <c r="C161" s="6"/>
      <c r="D161" s="6"/>
      <c r="E161" s="6" t="s">
        <v>61</v>
      </c>
      <c r="F161" s="6">
        <v>5100</v>
      </c>
      <c r="G161" s="6" t="s">
        <v>249</v>
      </c>
      <c r="H161" s="6">
        <v>9</v>
      </c>
      <c r="I161" s="6"/>
      <c r="J161" s="10" t="s">
        <v>24</v>
      </c>
      <c r="K161" s="28"/>
      <c r="L161" s="6"/>
      <c r="M161" s="6"/>
      <c r="N161" s="6"/>
      <c r="O161" s="6"/>
    </row>
    <row r="162" spans="2:15">
      <c r="B162" s="6"/>
      <c r="C162" s="6"/>
      <c r="D162" s="6"/>
      <c r="E162" s="6" t="s">
        <v>16</v>
      </c>
      <c r="F162" s="6">
        <v>5200</v>
      </c>
      <c r="G162" s="6" t="s">
        <v>250</v>
      </c>
      <c r="H162" s="6">
        <v>4</v>
      </c>
      <c r="I162" s="6"/>
      <c r="J162" s="10" t="s">
        <v>24</v>
      </c>
      <c r="K162" s="28"/>
      <c r="L162" s="6"/>
      <c r="M162" s="6"/>
      <c r="N162" s="6"/>
      <c r="O162" s="6"/>
    </row>
    <row r="163" spans="2:15">
      <c r="B163" s="6"/>
      <c r="C163" s="6"/>
      <c r="D163" s="6"/>
      <c r="E163" s="6" t="s">
        <v>16</v>
      </c>
      <c r="F163" s="6">
        <v>5300</v>
      </c>
      <c r="G163" s="6" t="s">
        <v>251</v>
      </c>
      <c r="H163" s="6">
        <v>10</v>
      </c>
      <c r="I163" s="6"/>
      <c r="J163" s="7" t="s">
        <v>21</v>
      </c>
      <c r="K163" s="28"/>
      <c r="L163" s="6"/>
      <c r="M163" s="6"/>
      <c r="N163" s="6"/>
      <c r="O163" s="6"/>
    </row>
    <row r="164" spans="2:15">
      <c r="B164" s="6"/>
      <c r="C164" s="6"/>
      <c r="D164" s="6"/>
      <c r="E164" s="6" t="s">
        <v>16</v>
      </c>
      <c r="F164" s="6">
        <v>5300</v>
      </c>
      <c r="G164" s="6" t="s">
        <v>252</v>
      </c>
      <c r="H164" s="6">
        <v>12</v>
      </c>
      <c r="I164" s="6"/>
      <c r="J164" s="10" t="s">
        <v>24</v>
      </c>
      <c r="K164" s="28"/>
      <c r="L164" s="6"/>
      <c r="M164" s="6"/>
      <c r="N164" s="6"/>
      <c r="O164" s="6"/>
    </row>
    <row r="165" spans="2:15">
      <c r="B165" s="6"/>
      <c r="C165" s="6"/>
      <c r="D165" s="6"/>
      <c r="E165" s="6" t="s">
        <v>16</v>
      </c>
      <c r="F165" s="6">
        <v>5300</v>
      </c>
      <c r="G165" s="6" t="s">
        <v>253</v>
      </c>
      <c r="H165" s="6">
        <v>9</v>
      </c>
      <c r="I165" s="6"/>
      <c r="J165" s="7" t="s">
        <v>21</v>
      </c>
      <c r="K165" s="28"/>
      <c r="L165" s="6"/>
      <c r="M165" s="6"/>
      <c r="N165" s="6"/>
      <c r="O165" s="6"/>
    </row>
    <row r="166" spans="2:15">
      <c r="B166" s="6">
        <v>23</v>
      </c>
      <c r="C166" s="6" t="s">
        <v>254</v>
      </c>
      <c r="D166" s="6" t="s">
        <v>103</v>
      </c>
      <c r="E166" s="6" t="s">
        <v>54</v>
      </c>
      <c r="F166" s="6">
        <v>4650</v>
      </c>
      <c r="G166" s="6" t="s">
        <v>255</v>
      </c>
      <c r="H166" s="9">
        <v>15</v>
      </c>
      <c r="I166" s="6"/>
      <c r="J166" s="9" t="s">
        <v>18</v>
      </c>
      <c r="K166" s="28"/>
      <c r="L166" s="6"/>
      <c r="M166" s="6"/>
      <c r="N166" s="6"/>
      <c r="O166" s="6"/>
    </row>
    <row r="167" spans="2:15">
      <c r="B167" s="6"/>
      <c r="C167" s="6"/>
      <c r="D167" s="6"/>
      <c r="E167" s="6" t="s">
        <v>61</v>
      </c>
      <c r="F167" s="6" t="s">
        <v>244</v>
      </c>
      <c r="G167" s="6" t="s">
        <v>256</v>
      </c>
      <c r="H167" s="6">
        <v>16</v>
      </c>
      <c r="I167" s="6"/>
      <c r="J167" s="7" t="s">
        <v>21</v>
      </c>
      <c r="K167" s="29"/>
      <c r="L167" s="32">
        <v>85</v>
      </c>
      <c r="M167" s="33">
        <v>36182</v>
      </c>
      <c r="N167" s="6"/>
      <c r="O167" s="6"/>
    </row>
    <row r="168" spans="2:15">
      <c r="B168" s="6"/>
      <c r="C168" s="6"/>
      <c r="D168" s="6"/>
      <c r="E168" s="6" t="s">
        <v>61</v>
      </c>
      <c r="F168" s="6" t="s">
        <v>246</v>
      </c>
      <c r="G168" s="6" t="s">
        <v>257</v>
      </c>
      <c r="H168" s="6">
        <v>8</v>
      </c>
      <c r="I168" s="6"/>
      <c r="J168" s="7" t="s">
        <v>21</v>
      </c>
      <c r="K168" s="29"/>
      <c r="L168" s="32"/>
      <c r="M168" s="33"/>
      <c r="N168" s="6"/>
      <c r="O168" s="6"/>
    </row>
    <row r="169" spans="2:15">
      <c r="B169" s="6"/>
      <c r="C169" s="6"/>
      <c r="D169" s="6"/>
      <c r="E169" s="6" t="s">
        <v>16</v>
      </c>
      <c r="F169" s="6">
        <v>5200</v>
      </c>
      <c r="G169" s="6" t="s">
        <v>258</v>
      </c>
      <c r="H169" s="6">
        <v>5</v>
      </c>
      <c r="I169" s="6"/>
      <c r="J169" s="7" t="s">
        <v>21</v>
      </c>
      <c r="K169" s="29"/>
      <c r="L169" s="6">
        <v>50</v>
      </c>
      <c r="M169" s="25">
        <v>34912</v>
      </c>
      <c r="N169" s="6"/>
      <c r="O169" s="6"/>
    </row>
    <row r="170" spans="2:15">
      <c r="B170" s="6"/>
      <c r="C170" s="6"/>
      <c r="D170" s="6"/>
      <c r="E170" s="6" t="s">
        <v>16</v>
      </c>
      <c r="F170" s="6">
        <v>5300</v>
      </c>
      <c r="G170" s="6" t="s">
        <v>259</v>
      </c>
      <c r="H170" s="6">
        <v>20</v>
      </c>
      <c r="I170" s="6"/>
      <c r="J170" s="7" t="s">
        <v>21</v>
      </c>
      <c r="K170" s="29"/>
      <c r="L170" s="6">
        <v>95</v>
      </c>
      <c r="M170" s="25">
        <v>34912</v>
      </c>
      <c r="N170" s="6"/>
      <c r="O170" s="6"/>
    </row>
    <row r="171" spans="2:15">
      <c r="B171" s="6"/>
      <c r="C171" s="6"/>
      <c r="D171" s="6"/>
      <c r="E171" s="6" t="s">
        <v>16</v>
      </c>
      <c r="F171" s="6">
        <v>5400</v>
      </c>
      <c r="G171" s="6" t="s">
        <v>260</v>
      </c>
      <c r="H171" s="6">
        <v>14</v>
      </c>
      <c r="I171" s="6"/>
      <c r="J171" s="7" t="s">
        <v>21</v>
      </c>
      <c r="K171" s="29"/>
      <c r="L171" s="6">
        <v>92</v>
      </c>
      <c r="M171" s="25">
        <v>34912</v>
      </c>
      <c r="N171" s="6"/>
      <c r="O171" s="6"/>
    </row>
    <row r="172" spans="2:15">
      <c r="B172" s="6"/>
      <c r="C172" s="6"/>
      <c r="D172" s="6"/>
      <c r="E172" s="6" t="s">
        <v>16</v>
      </c>
      <c r="F172" s="6">
        <v>5500</v>
      </c>
      <c r="G172" s="6" t="s">
        <v>261</v>
      </c>
      <c r="H172" s="6">
        <v>28</v>
      </c>
      <c r="I172" s="6"/>
      <c r="J172" s="7" t="s">
        <v>21</v>
      </c>
      <c r="K172" s="29"/>
      <c r="L172" s="6"/>
      <c r="M172" s="6"/>
      <c r="N172" s="6"/>
      <c r="O172" s="6"/>
    </row>
    <row r="173" spans="2:15">
      <c r="B173" s="6">
        <v>24</v>
      </c>
      <c r="C173" s="6" t="s">
        <v>262</v>
      </c>
      <c r="D173" s="6" t="s">
        <v>103</v>
      </c>
      <c r="E173" s="6"/>
      <c r="F173" s="6"/>
      <c r="G173" s="6" t="s">
        <v>263</v>
      </c>
      <c r="H173" s="6">
        <v>2</v>
      </c>
      <c r="I173" s="6"/>
      <c r="J173" s="10" t="s">
        <v>24</v>
      </c>
      <c r="K173" s="6"/>
      <c r="L173" s="6"/>
      <c r="M173" s="6"/>
      <c r="N173" s="6" t="s">
        <v>264</v>
      </c>
      <c r="O173" s="6"/>
    </row>
    <row r="174" spans="2:15">
      <c r="B174" s="6"/>
      <c r="C174" s="6"/>
      <c r="D174" s="6"/>
      <c r="E174" s="6"/>
      <c r="F174" s="6"/>
      <c r="G174" s="6" t="s">
        <v>265</v>
      </c>
      <c r="H174" s="6">
        <v>10</v>
      </c>
      <c r="I174" s="6"/>
      <c r="J174" s="7" t="s">
        <v>21</v>
      </c>
      <c r="K174" s="6"/>
      <c r="L174" s="6"/>
      <c r="M174" s="6"/>
      <c r="N174" s="6"/>
      <c r="O174" s="6"/>
    </row>
    <row r="175" spans="2:15">
      <c r="B175" s="6"/>
      <c r="C175" s="6"/>
      <c r="D175" s="6"/>
      <c r="E175" s="6"/>
      <c r="F175" s="6"/>
      <c r="G175" s="6" t="s">
        <v>266</v>
      </c>
      <c r="H175" s="6">
        <v>16</v>
      </c>
      <c r="I175" s="6"/>
      <c r="J175" s="10" t="s">
        <v>24</v>
      </c>
      <c r="K175" s="6"/>
      <c r="L175" s="6"/>
      <c r="M175" s="6"/>
      <c r="N175" s="6"/>
      <c r="O175" s="6"/>
    </row>
    <row r="176" spans="2:15">
      <c r="B176" s="6"/>
      <c r="C176" s="6"/>
      <c r="D176" s="6"/>
      <c r="E176" s="6"/>
      <c r="F176" s="6"/>
      <c r="G176" s="6" t="s">
        <v>267</v>
      </c>
      <c r="H176" s="9">
        <v>11</v>
      </c>
      <c r="I176" s="6"/>
      <c r="J176" s="9" t="s">
        <v>18</v>
      </c>
      <c r="K176" s="6"/>
      <c r="L176" s="6"/>
      <c r="M176" s="6"/>
      <c r="N176" s="6"/>
      <c r="O176" s="6"/>
    </row>
    <row r="177" spans="2:15">
      <c r="B177" s="6"/>
      <c r="C177" s="6"/>
      <c r="D177" s="6"/>
      <c r="E177" s="6"/>
      <c r="F177" s="6"/>
      <c r="G177" s="6" t="s">
        <v>268</v>
      </c>
      <c r="H177" s="9">
        <v>15</v>
      </c>
      <c r="I177" s="6"/>
      <c r="J177" s="9" t="s">
        <v>18</v>
      </c>
      <c r="K177" s="6"/>
      <c r="L177" s="6"/>
      <c r="M177" s="6"/>
      <c r="N177" s="6"/>
      <c r="O177" s="6"/>
    </row>
    <row r="178" spans="2:15">
      <c r="B178" s="6">
        <v>25</v>
      </c>
      <c r="C178" s="6" t="s">
        <v>269</v>
      </c>
      <c r="D178" s="6" t="s">
        <v>103</v>
      </c>
      <c r="E178" s="6"/>
      <c r="F178" s="6"/>
      <c r="G178" s="6" t="s">
        <v>270</v>
      </c>
      <c r="H178" s="6">
        <v>10</v>
      </c>
      <c r="I178" s="6"/>
      <c r="J178" s="7" t="s">
        <v>21</v>
      </c>
      <c r="K178" s="6"/>
      <c r="L178" s="6"/>
      <c r="M178" s="6"/>
      <c r="N178" s="6" t="s">
        <v>153</v>
      </c>
      <c r="O178" s="6"/>
    </row>
    <row r="179" spans="2:15">
      <c r="B179" s="6"/>
      <c r="C179" s="6"/>
      <c r="D179" s="6"/>
      <c r="E179" s="6"/>
      <c r="F179" s="6"/>
      <c r="G179" s="6" t="s">
        <v>271</v>
      </c>
      <c r="H179" s="6">
        <v>6</v>
      </c>
      <c r="I179" s="6"/>
      <c r="J179" s="7" t="s">
        <v>21</v>
      </c>
      <c r="K179" s="6"/>
      <c r="L179" s="6"/>
      <c r="M179" s="6"/>
      <c r="N179" s="6"/>
      <c r="O179" s="6"/>
    </row>
    <row r="180" spans="2:15">
      <c r="B180" s="6">
        <v>26</v>
      </c>
      <c r="C180" s="6" t="s">
        <v>272</v>
      </c>
      <c r="D180" s="6"/>
      <c r="E180" s="6"/>
      <c r="F180" s="6"/>
      <c r="G180" s="6" t="s">
        <v>273</v>
      </c>
      <c r="H180" s="6">
        <v>11</v>
      </c>
      <c r="I180" s="6"/>
      <c r="J180" s="7" t="s">
        <v>21</v>
      </c>
      <c r="K180" s="6"/>
      <c r="L180" s="6"/>
      <c r="M180" s="6"/>
      <c r="N180" s="6" t="s">
        <v>153</v>
      </c>
      <c r="O180" s="6"/>
    </row>
    <row r="181" spans="2:15">
      <c r="B181" s="6"/>
      <c r="C181" s="6"/>
      <c r="D181" s="6"/>
      <c r="E181" s="6"/>
      <c r="F181" s="6"/>
      <c r="G181" s="6" t="s">
        <v>274</v>
      </c>
      <c r="H181" s="6">
        <v>2</v>
      </c>
      <c r="I181" s="6"/>
      <c r="J181" s="7" t="s">
        <v>21</v>
      </c>
      <c r="K181" s="6"/>
      <c r="L181" s="6"/>
      <c r="M181" s="6"/>
      <c r="N181" s="6"/>
      <c r="O181" s="6"/>
    </row>
    <row r="182" spans="2:15">
      <c r="B182" s="6"/>
      <c r="C182" s="6"/>
      <c r="D182" s="6"/>
      <c r="E182" s="6"/>
      <c r="F182" s="6"/>
      <c r="G182" s="6" t="s">
        <v>275</v>
      </c>
      <c r="H182" s="6">
        <v>7</v>
      </c>
      <c r="I182" s="6"/>
      <c r="J182" s="7" t="s">
        <v>21</v>
      </c>
      <c r="K182" s="6"/>
      <c r="L182" s="6"/>
      <c r="M182" s="6"/>
      <c r="N182" s="6"/>
      <c r="O182" s="6"/>
    </row>
    <row r="183" spans="2:15">
      <c r="B183" s="6"/>
      <c r="C183" s="6"/>
      <c r="D183" s="6"/>
      <c r="E183" s="6"/>
      <c r="F183" s="6"/>
      <c r="G183" s="6" t="s">
        <v>276</v>
      </c>
      <c r="H183" s="6">
        <v>2</v>
      </c>
      <c r="I183" s="6"/>
      <c r="J183" s="7" t="s">
        <v>21</v>
      </c>
      <c r="K183" s="6"/>
      <c r="L183" s="6"/>
      <c r="M183" s="6"/>
      <c r="N183" s="6"/>
      <c r="O183" s="6"/>
    </row>
    <row r="184" spans="2:15">
      <c r="B184" s="6"/>
      <c r="C184" s="6"/>
      <c r="D184" s="6"/>
      <c r="E184" s="6"/>
      <c r="F184" s="6"/>
      <c r="G184" s="6" t="s">
        <v>277</v>
      </c>
      <c r="H184" s="6">
        <v>10</v>
      </c>
      <c r="I184" s="6"/>
      <c r="J184" s="7" t="s">
        <v>21</v>
      </c>
      <c r="K184" s="6"/>
      <c r="L184" s="6"/>
      <c r="M184" s="6"/>
      <c r="N184" s="6"/>
      <c r="O184" s="6"/>
    </row>
    <row r="185" spans="2:15">
      <c r="B185" s="6"/>
      <c r="C185" s="6"/>
      <c r="D185" s="6"/>
      <c r="E185" s="6"/>
      <c r="F185" s="6"/>
      <c r="G185" s="6" t="s">
        <v>278</v>
      </c>
      <c r="H185" s="6">
        <v>3</v>
      </c>
      <c r="I185" s="6"/>
      <c r="J185" s="7" t="s">
        <v>21</v>
      </c>
      <c r="K185" s="6"/>
      <c r="L185" s="6"/>
      <c r="M185" s="6"/>
      <c r="N185" s="6"/>
      <c r="O185" s="6"/>
    </row>
    <row r="186" spans="2:15">
      <c r="B186" s="6">
        <v>27</v>
      </c>
      <c r="C186" s="6" t="s">
        <v>279</v>
      </c>
      <c r="D186" s="6" t="s">
        <v>103</v>
      </c>
      <c r="E186" s="6"/>
      <c r="F186" s="6"/>
      <c r="G186" s="6" t="s">
        <v>280</v>
      </c>
      <c r="H186" s="6">
        <v>6</v>
      </c>
      <c r="I186" s="6"/>
      <c r="J186" s="7" t="s">
        <v>21</v>
      </c>
      <c r="K186" s="6"/>
      <c r="L186" s="6"/>
      <c r="M186" s="6"/>
      <c r="N186" s="6" t="s">
        <v>153</v>
      </c>
      <c r="O186" s="6"/>
    </row>
    <row r="187" spans="2:15">
      <c r="B187" s="6"/>
      <c r="C187" s="6"/>
      <c r="D187" s="6"/>
      <c r="E187" s="6"/>
      <c r="F187" s="6"/>
      <c r="G187" s="6" t="s">
        <v>281</v>
      </c>
      <c r="H187" s="6">
        <v>6</v>
      </c>
      <c r="I187" s="6"/>
      <c r="J187" s="7" t="s">
        <v>21</v>
      </c>
      <c r="K187" s="6"/>
      <c r="L187" s="6"/>
      <c r="M187" s="6"/>
      <c r="N187" s="6"/>
      <c r="O187" s="6"/>
    </row>
    <row r="188" spans="2:15">
      <c r="B188" s="6">
        <v>28</v>
      </c>
      <c r="C188" s="6" t="s">
        <v>282</v>
      </c>
      <c r="D188" s="6" t="s">
        <v>103</v>
      </c>
      <c r="E188" s="6"/>
      <c r="F188" s="6"/>
      <c r="G188" s="6" t="s">
        <v>283</v>
      </c>
      <c r="H188" s="6">
        <v>5</v>
      </c>
      <c r="I188" s="6"/>
      <c r="J188" s="7" t="s">
        <v>21</v>
      </c>
      <c r="K188" s="6"/>
      <c r="L188" s="6"/>
      <c r="M188" s="6"/>
      <c r="N188" s="6" t="s">
        <v>153</v>
      </c>
      <c r="O188" s="6"/>
    </row>
    <row r="189" spans="2:15">
      <c r="B189" s="6"/>
      <c r="C189" s="6"/>
      <c r="D189" s="6"/>
      <c r="E189" s="6"/>
      <c r="F189" s="6"/>
      <c r="G189" s="6" t="s">
        <v>284</v>
      </c>
      <c r="H189" s="6">
        <v>8</v>
      </c>
      <c r="I189" s="6"/>
      <c r="J189" s="10" t="s">
        <v>24</v>
      </c>
      <c r="K189" s="6"/>
      <c r="L189" s="6"/>
      <c r="M189" s="6"/>
      <c r="N189" s="6"/>
      <c r="O189" s="6"/>
    </row>
    <row r="190" spans="2:15">
      <c r="B190" s="6"/>
      <c r="C190" s="6"/>
      <c r="D190" s="6"/>
      <c r="E190" s="6"/>
      <c r="F190" s="6"/>
      <c r="G190" s="6" t="s">
        <v>285</v>
      </c>
      <c r="H190" s="6">
        <v>9</v>
      </c>
      <c r="I190" s="6"/>
      <c r="J190" s="7" t="s">
        <v>21</v>
      </c>
      <c r="K190" s="6"/>
      <c r="L190" s="6"/>
      <c r="M190" s="6"/>
      <c r="N190" s="6"/>
      <c r="O190" s="6"/>
    </row>
    <row r="191" spans="2:15">
      <c r="B191" s="6"/>
      <c r="C191" s="6"/>
      <c r="D191" s="6"/>
      <c r="E191" s="6"/>
      <c r="F191" s="6"/>
      <c r="G191" s="6" t="s">
        <v>286</v>
      </c>
      <c r="H191" s="6">
        <v>8</v>
      </c>
      <c r="I191" s="6"/>
      <c r="J191" s="7" t="s">
        <v>21</v>
      </c>
      <c r="K191" s="6"/>
      <c r="L191" s="6"/>
      <c r="M191" s="6"/>
      <c r="N191" s="6"/>
      <c r="O191" s="6"/>
    </row>
    <row r="192" spans="2:15">
      <c r="B192" s="6"/>
      <c r="C192" s="6"/>
      <c r="D192" s="6"/>
      <c r="E192" s="6"/>
      <c r="F192" s="6"/>
      <c r="G192" s="6" t="s">
        <v>287</v>
      </c>
      <c r="H192" s="6">
        <v>14</v>
      </c>
      <c r="I192" s="6"/>
      <c r="J192" s="7" t="s">
        <v>21</v>
      </c>
      <c r="K192" s="6"/>
      <c r="L192" s="6"/>
      <c r="M192" s="6"/>
      <c r="N192" s="6"/>
      <c r="O192" s="6"/>
    </row>
    <row r="193" spans="2:15">
      <c r="B193" s="6"/>
      <c r="C193" s="6"/>
      <c r="D193" s="6"/>
      <c r="E193" s="6"/>
      <c r="F193" s="6"/>
      <c r="G193" s="6" t="s">
        <v>288</v>
      </c>
      <c r="H193" s="6">
        <v>8</v>
      </c>
      <c r="I193" s="6"/>
      <c r="J193" s="7" t="s">
        <v>21</v>
      </c>
      <c r="K193" s="6"/>
      <c r="L193" s="6"/>
      <c r="M193" s="6"/>
      <c r="N193" s="6"/>
      <c r="O193" s="6"/>
    </row>
    <row r="194" spans="2:15">
      <c r="B194" s="6">
        <v>29</v>
      </c>
      <c r="C194" s="6" t="s">
        <v>289</v>
      </c>
      <c r="D194" s="6" t="s">
        <v>103</v>
      </c>
      <c r="E194" s="6"/>
      <c r="F194" s="6"/>
      <c r="G194" s="6" t="s">
        <v>290</v>
      </c>
      <c r="H194" s="6">
        <v>18</v>
      </c>
      <c r="I194" s="6"/>
      <c r="J194" s="7" t="s">
        <v>21</v>
      </c>
      <c r="K194" s="28"/>
      <c r="L194" s="6"/>
      <c r="M194" s="6"/>
      <c r="N194" s="6" t="s">
        <v>153</v>
      </c>
      <c r="O194" s="6"/>
    </row>
    <row r="195" spans="2:15">
      <c r="B195" s="6"/>
      <c r="C195" s="6"/>
      <c r="D195" s="6"/>
      <c r="E195" s="6"/>
      <c r="F195" s="6"/>
      <c r="G195" s="6" t="s">
        <v>291</v>
      </c>
      <c r="H195" s="6">
        <v>4</v>
      </c>
      <c r="I195" s="6"/>
      <c r="J195" s="10" t="s">
        <v>24</v>
      </c>
      <c r="K195" s="28"/>
      <c r="L195" s="6"/>
      <c r="M195" s="6"/>
      <c r="N195" s="6"/>
      <c r="O195" s="6"/>
    </row>
    <row r="196" spans="2:15">
      <c r="B196" s="6"/>
      <c r="C196" s="6"/>
      <c r="D196" s="6"/>
      <c r="E196" s="6"/>
      <c r="F196" s="6"/>
      <c r="G196" s="6" t="s">
        <v>292</v>
      </c>
      <c r="H196" s="6">
        <v>14</v>
      </c>
      <c r="I196" s="6"/>
      <c r="J196" s="10" t="s">
        <v>24</v>
      </c>
      <c r="K196" s="28"/>
      <c r="L196" s="6"/>
      <c r="M196" s="6"/>
      <c r="N196" s="6"/>
      <c r="O196" s="6"/>
    </row>
    <row r="197" spans="2:15">
      <c r="B197" s="6"/>
      <c r="C197" s="6"/>
      <c r="D197" s="6"/>
      <c r="E197" s="6"/>
      <c r="F197" s="6"/>
      <c r="G197" s="6" t="s">
        <v>293</v>
      </c>
      <c r="H197" s="6">
        <v>8</v>
      </c>
      <c r="I197" s="6"/>
      <c r="J197" s="10" t="s">
        <v>24</v>
      </c>
      <c r="K197" s="28"/>
      <c r="L197" s="6"/>
      <c r="M197" s="6"/>
      <c r="N197" s="6"/>
      <c r="O197" s="6"/>
    </row>
    <row r="198" spans="2:15">
      <c r="B198" s="6"/>
      <c r="C198" s="6"/>
      <c r="D198" s="6"/>
      <c r="E198" s="6"/>
      <c r="F198" s="6"/>
      <c r="G198" s="6" t="s">
        <v>294</v>
      </c>
      <c r="H198" s="6">
        <v>4</v>
      </c>
      <c r="I198" s="6"/>
      <c r="J198" s="10" t="s">
        <v>24</v>
      </c>
      <c r="K198" s="28"/>
      <c r="L198" s="6"/>
      <c r="M198" s="6"/>
      <c r="N198" s="6"/>
      <c r="O198" s="6"/>
    </row>
    <row r="199" spans="2:15">
      <c r="B199" s="6"/>
      <c r="C199" s="6"/>
      <c r="D199" s="6"/>
      <c r="E199" s="6"/>
      <c r="F199" s="6"/>
      <c r="G199" s="6" t="s">
        <v>295</v>
      </c>
      <c r="H199" s="6">
        <v>4</v>
      </c>
      <c r="I199" s="6"/>
      <c r="J199" s="10" t="s">
        <v>24</v>
      </c>
      <c r="K199" s="28"/>
      <c r="L199" s="6"/>
      <c r="M199" s="6"/>
      <c r="N199" s="6"/>
      <c r="O199" s="6"/>
    </row>
    <row r="200" spans="2:15">
      <c r="B200" s="6"/>
      <c r="C200" s="6"/>
      <c r="D200" s="6"/>
      <c r="E200" s="6"/>
      <c r="F200" s="6"/>
      <c r="G200" s="6" t="s">
        <v>296</v>
      </c>
      <c r="H200" s="6">
        <v>5</v>
      </c>
      <c r="I200" s="6"/>
      <c r="J200" s="7" t="s">
        <v>21</v>
      </c>
      <c r="K200" s="28"/>
      <c r="L200" s="6"/>
      <c r="M200" s="6"/>
      <c r="N200" s="6"/>
      <c r="O200" s="6"/>
    </row>
    <row r="201" spans="2:15">
      <c r="B201" s="6"/>
      <c r="C201" s="6"/>
      <c r="D201" s="6"/>
      <c r="E201" s="6"/>
      <c r="F201" s="6"/>
      <c r="G201" s="6" t="s">
        <v>297</v>
      </c>
      <c r="H201" s="6">
        <v>6</v>
      </c>
      <c r="I201" s="6"/>
      <c r="J201" s="7" t="s">
        <v>21</v>
      </c>
      <c r="K201" s="28"/>
      <c r="L201" s="6"/>
      <c r="M201" s="6"/>
      <c r="N201" s="6"/>
      <c r="O201" s="6"/>
    </row>
    <row r="202" spans="2:15">
      <c r="B202" s="6"/>
      <c r="C202" s="6"/>
      <c r="D202" s="6"/>
      <c r="E202" s="6"/>
      <c r="F202" s="6"/>
      <c r="G202" s="6" t="s">
        <v>298</v>
      </c>
      <c r="H202" s="6">
        <v>6</v>
      </c>
      <c r="I202" s="6"/>
      <c r="J202" s="7" t="s">
        <v>21</v>
      </c>
      <c r="K202" s="28"/>
      <c r="L202" s="6"/>
      <c r="M202" s="6"/>
      <c r="N202" s="6"/>
      <c r="O202" s="6"/>
    </row>
    <row r="203" spans="2:15">
      <c r="B203" s="6">
        <v>30</v>
      </c>
      <c r="C203" s="6" t="s">
        <v>299</v>
      </c>
      <c r="D203" s="6" t="s">
        <v>103</v>
      </c>
      <c r="E203" s="6" t="s">
        <v>129</v>
      </c>
      <c r="F203" s="6" t="s">
        <v>206</v>
      </c>
      <c r="G203" s="6" t="s">
        <v>300</v>
      </c>
      <c r="H203" s="6">
        <v>4</v>
      </c>
      <c r="I203" s="6"/>
      <c r="J203" s="10" t="s">
        <v>24</v>
      </c>
      <c r="K203" s="28"/>
      <c r="L203" s="6"/>
      <c r="M203" s="6"/>
      <c r="N203" s="6"/>
      <c r="O203" s="6"/>
    </row>
    <row r="204" spans="2:15">
      <c r="B204" s="6"/>
      <c r="C204" s="6"/>
      <c r="D204" s="6"/>
      <c r="E204" s="6" t="s">
        <v>54</v>
      </c>
      <c r="F204" s="6">
        <v>1480</v>
      </c>
      <c r="G204" s="6" t="s">
        <v>301</v>
      </c>
      <c r="H204" s="6">
        <v>11</v>
      </c>
      <c r="I204" s="6"/>
      <c r="J204" s="7" t="s">
        <v>21</v>
      </c>
      <c r="K204" s="28"/>
      <c r="L204" s="6"/>
      <c r="M204" s="6"/>
      <c r="N204" s="6"/>
      <c r="O204" s="6"/>
    </row>
    <row r="205" spans="2:15">
      <c r="B205" s="6"/>
      <c r="C205" s="6"/>
      <c r="D205" s="6"/>
      <c r="E205" s="6" t="s">
        <v>54</v>
      </c>
      <c r="F205" s="6">
        <v>1970</v>
      </c>
      <c r="G205" s="6" t="s">
        <v>302</v>
      </c>
      <c r="H205" s="6">
        <v>7</v>
      </c>
      <c r="I205" s="6"/>
      <c r="J205" s="7" t="s">
        <v>21</v>
      </c>
      <c r="K205" s="28"/>
      <c r="L205" s="6"/>
      <c r="M205" s="6"/>
      <c r="N205" s="6"/>
      <c r="O205" s="6"/>
    </row>
    <row r="206" spans="2:15">
      <c r="B206" s="6"/>
      <c r="C206" s="6"/>
      <c r="D206" s="6"/>
      <c r="E206" s="6" t="s">
        <v>16</v>
      </c>
      <c r="F206" s="6"/>
      <c r="G206" s="6" t="s">
        <v>303</v>
      </c>
      <c r="H206" s="6">
        <v>4</v>
      </c>
      <c r="I206" s="6"/>
      <c r="J206" s="7" t="s">
        <v>21</v>
      </c>
      <c r="K206" s="28"/>
      <c r="L206" s="6"/>
      <c r="M206" s="6"/>
      <c r="N206" s="6"/>
      <c r="O206" s="6"/>
    </row>
    <row r="207" spans="2:15">
      <c r="B207" s="6"/>
      <c r="C207" s="6"/>
      <c r="D207" s="6"/>
      <c r="E207" s="6" t="s">
        <v>16</v>
      </c>
      <c r="F207" s="6"/>
      <c r="G207" s="6" t="s">
        <v>304</v>
      </c>
      <c r="H207" s="9">
        <v>8</v>
      </c>
      <c r="I207" s="6"/>
      <c r="J207" s="9" t="s">
        <v>18</v>
      </c>
      <c r="K207" s="28"/>
      <c r="L207" s="6"/>
      <c r="M207" s="6"/>
      <c r="N207" s="6"/>
      <c r="O207" s="6"/>
    </row>
    <row r="208" spans="2:15">
      <c r="B208" s="6"/>
      <c r="C208" s="6"/>
      <c r="D208" s="6"/>
      <c r="E208" s="6" t="s">
        <v>16</v>
      </c>
      <c r="F208" s="6"/>
      <c r="G208" s="6" t="s">
        <v>305</v>
      </c>
      <c r="H208" s="9">
        <v>6</v>
      </c>
      <c r="I208" s="9"/>
      <c r="J208" s="9" t="s">
        <v>18</v>
      </c>
      <c r="K208" s="28"/>
      <c r="L208" s="6"/>
      <c r="M208" s="6"/>
      <c r="N208" s="6"/>
      <c r="O208" s="6"/>
    </row>
    <row r="209" spans="2:15">
      <c r="B209" s="6"/>
      <c r="C209" s="6"/>
      <c r="D209" s="6"/>
      <c r="E209" s="6" t="s">
        <v>16</v>
      </c>
      <c r="F209" s="6"/>
      <c r="G209" s="6" t="s">
        <v>306</v>
      </c>
      <c r="H209" s="6">
        <v>5</v>
      </c>
      <c r="I209" s="6"/>
      <c r="J209" s="7" t="s">
        <v>21</v>
      </c>
      <c r="K209" s="28"/>
      <c r="L209" s="6"/>
      <c r="M209" s="6"/>
      <c r="N209" s="6"/>
      <c r="O209" s="6"/>
    </row>
    <row r="210" spans="2:15" ht="14.25">
      <c r="B210" s="6">
        <v>31</v>
      </c>
      <c r="C210" s="6" t="s">
        <v>128</v>
      </c>
      <c r="D210" s="6" t="s">
        <v>15</v>
      </c>
      <c r="E210" s="6"/>
      <c r="F210" s="6"/>
      <c r="G210" s="6" t="s">
        <v>131</v>
      </c>
      <c r="H210" s="9">
        <v>28</v>
      </c>
      <c r="I210" s="6" t="s">
        <v>18</v>
      </c>
      <c r="J210" s="9" t="s">
        <v>18</v>
      </c>
      <c r="K210" s="6"/>
      <c r="L210" s="6"/>
      <c r="M210" s="6"/>
      <c r="N210" s="6"/>
      <c r="O210" s="6"/>
    </row>
    <row r="211" spans="2:15">
      <c r="B211" s="6"/>
      <c r="C211" s="6"/>
      <c r="D211" s="6"/>
      <c r="E211" s="6"/>
      <c r="F211" s="6"/>
      <c r="G211" s="6" t="s">
        <v>132</v>
      </c>
      <c r="H211" s="6">
        <v>7</v>
      </c>
      <c r="I211" s="6"/>
      <c r="J211" s="7" t="s">
        <v>21</v>
      </c>
      <c r="K211" s="6"/>
      <c r="L211" s="6"/>
      <c r="M211" s="6"/>
      <c r="N211" s="6" t="s">
        <v>153</v>
      </c>
      <c r="O211" s="6"/>
    </row>
    <row r="212" spans="2:15">
      <c r="B212" s="6"/>
      <c r="C212" s="6"/>
      <c r="D212" s="6"/>
      <c r="E212" s="6"/>
      <c r="F212" s="6"/>
      <c r="G212" s="6" t="s">
        <v>133</v>
      </c>
      <c r="H212" s="6">
        <v>6</v>
      </c>
      <c r="I212" s="6"/>
      <c r="J212" s="7" t="s">
        <v>21</v>
      </c>
      <c r="K212" s="6"/>
      <c r="L212" s="6"/>
      <c r="M212" s="6"/>
      <c r="N212" s="6"/>
      <c r="O212" s="6"/>
    </row>
    <row r="213" spans="2:15">
      <c r="B213" s="6"/>
      <c r="C213" s="6"/>
      <c r="D213" s="6"/>
      <c r="E213" s="6"/>
      <c r="F213" s="6"/>
      <c r="G213" s="6" t="s">
        <v>134</v>
      </c>
      <c r="H213" s="6">
        <v>4</v>
      </c>
      <c r="I213" s="6"/>
      <c r="J213" s="7" t="s">
        <v>21</v>
      </c>
      <c r="K213" s="6"/>
      <c r="L213" s="6"/>
      <c r="M213" s="6"/>
      <c r="N213" s="6"/>
      <c r="O213" s="6"/>
    </row>
    <row r="214" spans="2:15">
      <c r="B214" s="6"/>
      <c r="C214" s="6"/>
      <c r="D214" s="6"/>
      <c r="E214" s="6"/>
      <c r="F214" s="6"/>
      <c r="G214" s="6" t="s">
        <v>135</v>
      </c>
      <c r="H214" s="6">
        <v>15</v>
      </c>
      <c r="I214" s="6"/>
      <c r="J214" s="7" t="s">
        <v>21</v>
      </c>
      <c r="K214" s="6"/>
      <c r="L214" s="6"/>
      <c r="M214" s="6"/>
      <c r="N214" s="6"/>
      <c r="O214" s="6"/>
    </row>
    <row r="215" spans="2:15">
      <c r="B215" s="6">
        <v>32</v>
      </c>
      <c r="C215" s="6" t="s">
        <v>307</v>
      </c>
      <c r="D215" s="6" t="s">
        <v>103</v>
      </c>
      <c r="E215" s="6" t="s">
        <v>61</v>
      </c>
      <c r="F215" s="6">
        <v>1970</v>
      </c>
      <c r="G215" s="6" t="s">
        <v>308</v>
      </c>
      <c r="H215" s="6">
        <v>2</v>
      </c>
      <c r="I215" s="6"/>
      <c r="J215" s="7" t="s">
        <v>21</v>
      </c>
      <c r="K215" s="6"/>
      <c r="L215" s="6">
        <v>60</v>
      </c>
      <c r="M215" s="12">
        <v>40136</v>
      </c>
      <c r="N215" s="6"/>
      <c r="O215" s="6"/>
    </row>
    <row r="216" spans="2:15">
      <c r="B216" s="6"/>
      <c r="C216" s="6"/>
      <c r="D216" s="6"/>
      <c r="E216" s="6" t="s">
        <v>61</v>
      </c>
      <c r="F216" s="6">
        <v>2020</v>
      </c>
      <c r="G216" s="6" t="s">
        <v>309</v>
      </c>
      <c r="H216" s="6">
        <v>2</v>
      </c>
      <c r="I216" s="6"/>
      <c r="J216" s="7" t="s">
        <v>21</v>
      </c>
      <c r="K216" s="6"/>
      <c r="L216" s="6">
        <v>99</v>
      </c>
      <c r="M216" s="12">
        <v>40136</v>
      </c>
      <c r="N216" s="6"/>
      <c r="O216" s="6"/>
    </row>
    <row r="217" spans="2:15">
      <c r="B217" s="6"/>
      <c r="C217" s="6"/>
      <c r="D217" s="6"/>
      <c r="E217" s="6" t="s">
        <v>16</v>
      </c>
      <c r="F217" s="6"/>
      <c r="G217" s="6" t="s">
        <v>310</v>
      </c>
      <c r="H217" s="9">
        <v>6</v>
      </c>
      <c r="I217" s="9"/>
      <c r="J217" s="9" t="s">
        <v>18</v>
      </c>
      <c r="K217" s="6"/>
      <c r="L217" s="6"/>
      <c r="M217" s="12"/>
      <c r="N217" s="6"/>
      <c r="O217" s="6"/>
    </row>
    <row r="218" spans="2:15">
      <c r="B218" s="6"/>
      <c r="C218" s="6"/>
      <c r="D218" s="6"/>
      <c r="E218" s="6" t="s">
        <v>16</v>
      </c>
      <c r="F218" s="6"/>
      <c r="G218" s="6" t="s">
        <v>311</v>
      </c>
      <c r="H218" s="6">
        <v>3</v>
      </c>
      <c r="I218" s="6"/>
      <c r="J218" s="7" t="s">
        <v>21</v>
      </c>
      <c r="K218" s="6"/>
      <c r="L218" s="6">
        <v>100</v>
      </c>
      <c r="M218" s="12">
        <v>40136</v>
      </c>
      <c r="N218" s="6"/>
      <c r="O218" s="6"/>
    </row>
    <row r="219" spans="2:15">
      <c r="B219" s="6">
        <v>33</v>
      </c>
      <c r="C219" s="6" t="s">
        <v>312</v>
      </c>
      <c r="D219" s="6" t="s">
        <v>103</v>
      </c>
      <c r="E219" s="6"/>
      <c r="F219" s="6"/>
      <c r="G219" s="6" t="s">
        <v>313</v>
      </c>
      <c r="H219" s="6">
        <v>30</v>
      </c>
      <c r="I219" s="6"/>
      <c r="J219" s="7" t="s">
        <v>21</v>
      </c>
      <c r="K219" s="6"/>
      <c r="L219" s="6"/>
      <c r="M219" s="6"/>
      <c r="N219" s="6" t="s">
        <v>153</v>
      </c>
      <c r="O219" s="6"/>
    </row>
    <row r="220" spans="2:15">
      <c r="B220" s="6"/>
      <c r="C220" s="6"/>
      <c r="D220" s="6"/>
      <c r="E220" s="6"/>
      <c r="F220" s="6"/>
      <c r="G220" s="6" t="s">
        <v>314</v>
      </c>
      <c r="H220" s="6">
        <v>35</v>
      </c>
      <c r="I220" s="6"/>
      <c r="J220" s="7" t="s">
        <v>21</v>
      </c>
      <c r="K220" s="6"/>
      <c r="L220" s="6"/>
      <c r="M220" s="6"/>
      <c r="N220" s="6"/>
      <c r="O220" s="6"/>
    </row>
    <row r="221" spans="2:15">
      <c r="B221" s="6"/>
      <c r="C221" s="6"/>
      <c r="D221" s="6"/>
      <c r="E221" s="6"/>
      <c r="F221" s="6"/>
      <c r="G221" s="6" t="s">
        <v>315</v>
      </c>
      <c r="H221" s="6">
        <v>4</v>
      </c>
      <c r="I221" s="6"/>
      <c r="J221" s="7" t="s">
        <v>21</v>
      </c>
      <c r="K221" s="6"/>
      <c r="L221" s="6"/>
      <c r="M221" s="6"/>
      <c r="N221" s="6"/>
      <c r="O221" s="6"/>
    </row>
    <row r="222" spans="2:15">
      <c r="B222" s="6"/>
      <c r="C222" s="6"/>
      <c r="D222" s="6"/>
      <c r="E222" s="6"/>
      <c r="F222" s="6"/>
      <c r="G222" s="6" t="s">
        <v>316</v>
      </c>
      <c r="H222" s="6">
        <v>12</v>
      </c>
      <c r="I222" s="6"/>
      <c r="J222" s="7" t="s">
        <v>21</v>
      </c>
      <c r="K222" s="6"/>
      <c r="L222" s="6"/>
      <c r="M222" s="6"/>
      <c r="N222" s="6"/>
      <c r="O222" s="6"/>
    </row>
    <row r="223" spans="2:15" s="3" customFormat="1">
      <c r="B223" s="13">
        <v>34</v>
      </c>
      <c r="C223" s="13" t="s">
        <v>317</v>
      </c>
      <c r="D223" s="13" t="s">
        <v>103</v>
      </c>
      <c r="E223" s="13"/>
      <c r="F223" s="13"/>
      <c r="G223" s="13"/>
      <c r="H223" s="13"/>
      <c r="I223" s="13"/>
      <c r="J223" s="26"/>
      <c r="K223" s="13"/>
      <c r="L223" s="13"/>
      <c r="M223" s="13"/>
      <c r="N223" s="13" t="s">
        <v>318</v>
      </c>
      <c r="O223" s="13"/>
    </row>
    <row r="224" spans="2:15">
      <c r="B224" s="6">
        <v>35</v>
      </c>
      <c r="C224" s="6" t="s">
        <v>319</v>
      </c>
      <c r="D224" s="6" t="s">
        <v>103</v>
      </c>
      <c r="E224" s="6"/>
      <c r="F224" s="6">
        <v>2300</v>
      </c>
      <c r="G224" s="6" t="s">
        <v>320</v>
      </c>
      <c r="H224" s="6">
        <v>20</v>
      </c>
      <c r="I224" s="6"/>
      <c r="J224" s="7" t="s">
        <v>21</v>
      </c>
      <c r="K224" s="6"/>
      <c r="L224" s="6"/>
      <c r="M224" s="6"/>
      <c r="N224" s="6"/>
      <c r="O224" s="6"/>
    </row>
    <row r="225" spans="2:15">
      <c r="B225" s="6"/>
      <c r="C225" s="6"/>
      <c r="D225" s="6"/>
      <c r="E225" s="6"/>
      <c r="F225" s="6">
        <v>2300</v>
      </c>
      <c r="G225" s="6" t="s">
        <v>321</v>
      </c>
      <c r="H225" s="6">
        <v>14</v>
      </c>
      <c r="I225" s="6"/>
      <c r="J225" s="7" t="s">
        <v>21</v>
      </c>
      <c r="K225" s="6"/>
      <c r="L225" s="6"/>
      <c r="M225" s="6"/>
      <c r="N225" s="6"/>
      <c r="O225" s="6"/>
    </row>
    <row r="226" spans="2:15">
      <c r="B226" s="6"/>
      <c r="C226" s="6"/>
      <c r="D226" s="6"/>
      <c r="E226" s="6"/>
      <c r="F226" s="6">
        <v>2300</v>
      </c>
      <c r="G226" s="6" t="s">
        <v>322</v>
      </c>
      <c r="H226" s="6">
        <v>20</v>
      </c>
      <c r="I226" s="6"/>
      <c r="J226" s="7" t="s">
        <v>21</v>
      </c>
      <c r="K226" s="6"/>
      <c r="L226" s="6"/>
      <c r="M226" s="6"/>
      <c r="N226" s="6"/>
      <c r="O226" s="6"/>
    </row>
    <row r="227" spans="2:15">
      <c r="B227" s="6">
        <v>36</v>
      </c>
      <c r="C227" s="6" t="s">
        <v>323</v>
      </c>
      <c r="D227" s="6" t="s">
        <v>103</v>
      </c>
      <c r="E227" s="6"/>
      <c r="F227" s="6"/>
      <c r="G227" s="6" t="s">
        <v>324</v>
      </c>
      <c r="H227" s="6">
        <v>10</v>
      </c>
      <c r="I227" s="6"/>
      <c r="J227" s="7" t="s">
        <v>21</v>
      </c>
      <c r="K227" s="6"/>
      <c r="L227" s="6"/>
      <c r="M227" s="6"/>
      <c r="N227" s="6" t="s">
        <v>153</v>
      </c>
      <c r="O227" s="6"/>
    </row>
    <row r="228" spans="2:15">
      <c r="B228" s="6">
        <v>37</v>
      </c>
      <c r="C228" s="6" t="s">
        <v>325</v>
      </c>
      <c r="D228" s="6" t="s">
        <v>103</v>
      </c>
      <c r="E228" s="6" t="s">
        <v>54</v>
      </c>
      <c r="F228" s="6"/>
      <c r="G228" s="6" t="s">
        <v>326</v>
      </c>
      <c r="H228" s="6">
        <v>8</v>
      </c>
      <c r="I228" s="6"/>
      <c r="J228" s="10" t="s">
        <v>24</v>
      </c>
      <c r="K228" s="6"/>
      <c r="L228" s="6">
        <v>30</v>
      </c>
      <c r="M228" s="25">
        <v>36192</v>
      </c>
      <c r="N228" s="6"/>
      <c r="O228" s="6"/>
    </row>
    <row r="229" spans="2:15">
      <c r="B229" s="6"/>
      <c r="C229" s="6"/>
      <c r="D229" s="6"/>
      <c r="E229" s="6" t="s">
        <v>54</v>
      </c>
      <c r="F229" s="6"/>
      <c r="G229" s="6" t="s">
        <v>327</v>
      </c>
      <c r="H229" s="6">
        <v>6</v>
      </c>
      <c r="I229" s="6"/>
      <c r="J229" s="10" t="s">
        <v>24</v>
      </c>
      <c r="K229" s="6"/>
      <c r="L229" s="6">
        <v>100</v>
      </c>
      <c r="M229" s="25">
        <v>36192</v>
      </c>
      <c r="N229" s="6"/>
      <c r="O229" s="6"/>
    </row>
    <row r="230" spans="2:15">
      <c r="B230" s="6"/>
      <c r="C230" s="6"/>
      <c r="D230" s="6"/>
      <c r="E230" s="6" t="s">
        <v>54</v>
      </c>
      <c r="F230" s="6"/>
      <c r="G230" s="6" t="s">
        <v>328</v>
      </c>
      <c r="H230" s="6">
        <v>6</v>
      </c>
      <c r="I230" s="6"/>
      <c r="J230" s="10" t="s">
        <v>24</v>
      </c>
      <c r="K230" s="6"/>
      <c r="L230" s="6">
        <v>100</v>
      </c>
      <c r="M230" s="25">
        <v>36192</v>
      </c>
      <c r="N230" s="6"/>
      <c r="O230" s="6"/>
    </row>
    <row r="231" spans="2:15">
      <c r="B231" s="6"/>
      <c r="C231" s="6"/>
      <c r="D231" s="6"/>
      <c r="E231" s="6"/>
      <c r="F231" s="6"/>
      <c r="G231" s="6" t="s">
        <v>329</v>
      </c>
      <c r="H231" s="9">
        <v>6</v>
      </c>
      <c r="I231" s="6"/>
      <c r="J231" s="9" t="s">
        <v>18</v>
      </c>
      <c r="K231" s="6"/>
      <c r="L231" s="6"/>
      <c r="M231" s="25"/>
      <c r="N231" s="6"/>
      <c r="O231" s="6"/>
    </row>
    <row r="232" spans="2:15">
      <c r="B232" s="6"/>
      <c r="C232" s="6"/>
      <c r="D232" s="6"/>
      <c r="E232" s="6"/>
      <c r="F232" s="6"/>
      <c r="G232" s="6" t="s">
        <v>330</v>
      </c>
      <c r="H232" s="9">
        <v>5</v>
      </c>
      <c r="I232" s="6"/>
      <c r="J232" s="9" t="s">
        <v>18</v>
      </c>
      <c r="K232" s="6"/>
      <c r="L232" s="6"/>
      <c r="M232" s="25"/>
      <c r="N232" s="6"/>
      <c r="O232" s="6"/>
    </row>
    <row r="233" spans="2:15">
      <c r="B233" s="6"/>
      <c r="C233" s="6"/>
      <c r="D233" s="6"/>
      <c r="E233" s="6" t="s">
        <v>61</v>
      </c>
      <c r="F233" s="6"/>
      <c r="G233" s="6" t="s">
        <v>331</v>
      </c>
      <c r="H233" s="6">
        <v>6</v>
      </c>
      <c r="I233" s="6"/>
      <c r="J233" s="10" t="s">
        <v>24</v>
      </c>
      <c r="K233" s="6"/>
      <c r="L233" s="6">
        <v>100</v>
      </c>
      <c r="M233" s="25">
        <v>36192</v>
      </c>
      <c r="N233" s="6"/>
      <c r="O233" s="6"/>
    </row>
    <row r="234" spans="2:15">
      <c r="B234" s="6"/>
      <c r="C234" s="6"/>
      <c r="D234" s="6"/>
      <c r="E234" s="6" t="s">
        <v>16</v>
      </c>
      <c r="F234" s="6"/>
      <c r="G234" s="6" t="s">
        <v>332</v>
      </c>
      <c r="H234" s="6">
        <v>10</v>
      </c>
      <c r="I234" s="6"/>
      <c r="J234" s="10" t="s">
        <v>24</v>
      </c>
      <c r="K234" s="6"/>
      <c r="L234" s="6">
        <v>98</v>
      </c>
      <c r="M234" s="25">
        <v>26604</v>
      </c>
      <c r="N234" s="6"/>
      <c r="O234" s="6"/>
    </row>
    <row r="235" spans="2:15">
      <c r="B235" s="6"/>
      <c r="C235" s="6"/>
      <c r="D235" s="6"/>
      <c r="E235" s="6" t="s">
        <v>16</v>
      </c>
      <c r="F235" s="6"/>
      <c r="G235" s="6" t="s">
        <v>333</v>
      </c>
      <c r="H235" s="6">
        <v>12</v>
      </c>
      <c r="I235" s="6"/>
      <c r="J235" s="10" t="s">
        <v>24</v>
      </c>
      <c r="K235" s="6"/>
      <c r="L235" s="6"/>
      <c r="M235" s="6"/>
      <c r="N235" s="6"/>
      <c r="O235" s="6"/>
    </row>
    <row r="236" spans="2:15">
      <c r="B236" s="6"/>
      <c r="C236" s="6"/>
      <c r="D236" s="6"/>
      <c r="E236" s="6"/>
      <c r="F236" s="6"/>
      <c r="G236" s="6" t="s">
        <v>334</v>
      </c>
      <c r="H236" s="9">
        <v>15</v>
      </c>
      <c r="I236" s="6"/>
      <c r="J236" s="9" t="s">
        <v>18</v>
      </c>
      <c r="K236" s="6"/>
      <c r="L236" s="6"/>
      <c r="M236" s="6"/>
      <c r="N236" s="6"/>
      <c r="O236" s="6"/>
    </row>
    <row r="237" spans="2:15">
      <c r="B237" s="6">
        <v>38</v>
      </c>
      <c r="C237" s="6" t="s">
        <v>335</v>
      </c>
      <c r="D237" s="6" t="s">
        <v>15</v>
      </c>
      <c r="E237" s="6"/>
      <c r="F237" s="6">
        <v>2590</v>
      </c>
      <c r="G237" s="6" t="s">
        <v>336</v>
      </c>
      <c r="H237" s="6">
        <v>16</v>
      </c>
      <c r="I237" s="6"/>
      <c r="J237" s="7" t="s">
        <v>21</v>
      </c>
      <c r="K237" s="28"/>
      <c r="L237" s="27">
        <v>0.9</v>
      </c>
      <c r="M237" s="12">
        <v>37713</v>
      </c>
      <c r="N237" s="6" t="s">
        <v>337</v>
      </c>
      <c r="O237" s="6"/>
    </row>
    <row r="238" spans="2:15">
      <c r="B238" s="6"/>
      <c r="C238" s="6"/>
      <c r="D238" s="6"/>
      <c r="E238" s="6"/>
      <c r="F238" s="6"/>
      <c r="G238" s="6" t="s">
        <v>338</v>
      </c>
      <c r="H238" s="6">
        <v>18</v>
      </c>
      <c r="I238" s="6"/>
      <c r="J238" s="7" t="s">
        <v>21</v>
      </c>
      <c r="K238" s="28"/>
      <c r="L238" s="27"/>
      <c r="M238" s="12"/>
      <c r="N238" s="6"/>
      <c r="O238" s="6"/>
    </row>
    <row r="239" spans="2:15">
      <c r="B239" s="6"/>
      <c r="C239" s="6"/>
      <c r="D239" s="6"/>
      <c r="E239" s="6"/>
      <c r="F239" s="6"/>
      <c r="G239" s="6" t="s">
        <v>339</v>
      </c>
      <c r="H239" s="6">
        <v>25</v>
      </c>
      <c r="I239" s="6"/>
      <c r="J239" s="7" t="s">
        <v>21</v>
      </c>
      <c r="K239" s="28"/>
      <c r="L239" s="27"/>
      <c r="M239" s="12"/>
      <c r="N239" s="6"/>
      <c r="O239" s="6"/>
    </row>
    <row r="240" spans="2:15">
      <c r="B240" s="6"/>
      <c r="C240" s="6"/>
      <c r="D240" s="6"/>
      <c r="E240" s="6"/>
      <c r="F240" s="6">
        <v>3160</v>
      </c>
      <c r="G240" s="6" t="s">
        <v>340</v>
      </c>
      <c r="H240" s="6">
        <v>8</v>
      </c>
      <c r="I240" s="6"/>
      <c r="J240" s="7" t="s">
        <v>21</v>
      </c>
      <c r="K240" s="28"/>
      <c r="L240" s="6"/>
      <c r="M240" s="6"/>
      <c r="N240" s="6"/>
      <c r="O240" s="6"/>
    </row>
    <row r="241" spans="2:15">
      <c r="B241" s="6"/>
      <c r="C241" s="6"/>
      <c r="D241" s="6"/>
      <c r="E241" s="6"/>
      <c r="F241" s="6">
        <v>3160</v>
      </c>
      <c r="G241" s="6" t="s">
        <v>341</v>
      </c>
      <c r="H241" s="6">
        <v>10</v>
      </c>
      <c r="I241" s="6"/>
      <c r="J241" s="7" t="s">
        <v>21</v>
      </c>
      <c r="K241" s="28"/>
      <c r="L241" s="6"/>
      <c r="M241" s="6"/>
      <c r="N241" s="6"/>
      <c r="O241" s="6"/>
    </row>
    <row r="242" spans="2:15">
      <c r="B242" s="6"/>
      <c r="C242" s="6"/>
      <c r="D242" s="6"/>
      <c r="E242" s="6"/>
      <c r="F242" s="6">
        <v>3160</v>
      </c>
      <c r="G242" s="6" t="s">
        <v>342</v>
      </c>
      <c r="H242" s="6">
        <v>7</v>
      </c>
      <c r="I242" s="6"/>
      <c r="J242" s="7" t="s">
        <v>21</v>
      </c>
      <c r="K242" s="28"/>
      <c r="L242" s="6"/>
      <c r="M242" s="6"/>
      <c r="N242" s="6"/>
      <c r="O242" s="6"/>
    </row>
    <row r="243" spans="2:15">
      <c r="B243" s="6"/>
      <c r="C243" s="6"/>
      <c r="D243" s="6"/>
      <c r="E243" s="6"/>
      <c r="F243" s="6"/>
      <c r="G243" s="6" t="s">
        <v>343</v>
      </c>
      <c r="H243" s="6">
        <v>18</v>
      </c>
      <c r="I243" s="6"/>
      <c r="J243" s="7" t="s">
        <v>21</v>
      </c>
      <c r="K243" s="28"/>
      <c r="L243" s="6"/>
      <c r="M243" s="6"/>
      <c r="N243" s="6"/>
      <c r="O243" s="6"/>
    </row>
    <row r="244" spans="2:15">
      <c r="B244" s="6"/>
      <c r="C244" s="6"/>
      <c r="D244" s="6"/>
      <c r="E244" s="6"/>
      <c r="F244" s="6"/>
      <c r="G244" s="6" t="s">
        <v>344</v>
      </c>
      <c r="H244" s="6">
        <v>8</v>
      </c>
      <c r="I244" s="6"/>
      <c r="J244" s="7" t="s">
        <v>21</v>
      </c>
      <c r="K244" s="28"/>
      <c r="L244" s="6"/>
      <c r="M244" s="6"/>
      <c r="N244" s="6"/>
      <c r="O244" s="6"/>
    </row>
    <row r="245" spans="2:15">
      <c r="B245" s="6">
        <v>39</v>
      </c>
      <c r="C245" s="6" t="s">
        <v>345</v>
      </c>
      <c r="D245" s="6" t="s">
        <v>15</v>
      </c>
      <c r="E245" s="6" t="s">
        <v>54</v>
      </c>
      <c r="F245" s="6"/>
      <c r="G245" s="6" t="s">
        <v>346</v>
      </c>
      <c r="H245" s="9">
        <v>9</v>
      </c>
      <c r="I245" s="6"/>
      <c r="J245" s="9" t="s">
        <v>18</v>
      </c>
      <c r="K245" s="28"/>
      <c r="L245" s="6"/>
      <c r="M245" s="6"/>
      <c r="N245" s="6" t="s">
        <v>347</v>
      </c>
      <c r="O245" s="6"/>
    </row>
    <row r="246" spans="2:15">
      <c r="B246" s="6"/>
      <c r="C246" s="6"/>
      <c r="D246" s="6"/>
      <c r="E246" s="6" t="s">
        <v>25</v>
      </c>
      <c r="F246" s="6"/>
      <c r="G246" s="6" t="s">
        <v>348</v>
      </c>
      <c r="H246" s="6">
        <v>6</v>
      </c>
      <c r="I246" s="6"/>
      <c r="J246" s="7" t="s">
        <v>21</v>
      </c>
      <c r="K246" s="28"/>
      <c r="L246" s="32">
        <v>70</v>
      </c>
      <c r="M246" s="33">
        <v>39686</v>
      </c>
      <c r="N246" s="6"/>
      <c r="O246" s="6"/>
    </row>
    <row r="247" spans="2:15">
      <c r="B247" s="6"/>
      <c r="C247" s="6"/>
      <c r="D247" s="6"/>
      <c r="E247" s="6" t="s">
        <v>25</v>
      </c>
      <c r="F247" s="6"/>
      <c r="G247" s="6" t="s">
        <v>349</v>
      </c>
      <c r="H247" s="6">
        <v>8</v>
      </c>
      <c r="I247" s="6"/>
      <c r="J247" s="7" t="s">
        <v>21</v>
      </c>
      <c r="K247" s="28"/>
      <c r="L247" s="32"/>
      <c r="M247" s="33"/>
      <c r="N247" s="6"/>
      <c r="O247" s="6"/>
    </row>
    <row r="248" spans="2:15">
      <c r="B248" s="6"/>
      <c r="C248" s="6"/>
      <c r="D248" s="6"/>
      <c r="E248" s="6" t="s">
        <v>25</v>
      </c>
      <c r="F248" s="6"/>
      <c r="G248" s="6" t="s">
        <v>350</v>
      </c>
      <c r="H248" s="6">
        <v>10</v>
      </c>
      <c r="I248" s="6"/>
      <c r="J248" s="7" t="s">
        <v>21</v>
      </c>
      <c r="K248" s="28"/>
      <c r="L248" s="32"/>
      <c r="M248" s="33"/>
      <c r="N248" s="6"/>
      <c r="O248" s="6"/>
    </row>
    <row r="249" spans="2:15">
      <c r="B249" s="6"/>
      <c r="C249" s="6"/>
      <c r="D249" s="6"/>
      <c r="E249" s="6" t="s">
        <v>25</v>
      </c>
      <c r="F249" s="6"/>
      <c r="G249" s="6" t="s">
        <v>351</v>
      </c>
      <c r="H249" s="6">
        <v>20</v>
      </c>
      <c r="I249" s="6"/>
      <c r="J249" s="7" t="s">
        <v>21</v>
      </c>
      <c r="K249" s="28"/>
      <c r="L249" s="32"/>
      <c r="M249" s="33"/>
      <c r="N249" s="6"/>
      <c r="O249" s="6"/>
    </row>
    <row r="250" spans="2:15">
      <c r="B250" s="6"/>
      <c r="C250" s="6"/>
      <c r="D250" s="6"/>
      <c r="E250" s="6" t="s">
        <v>25</v>
      </c>
      <c r="F250" s="6"/>
      <c r="G250" s="6" t="s">
        <v>352</v>
      </c>
      <c r="H250" s="6">
        <v>12</v>
      </c>
      <c r="I250" s="6"/>
      <c r="J250" s="7" t="s">
        <v>21</v>
      </c>
      <c r="K250" s="28"/>
      <c r="L250" s="32"/>
      <c r="M250" s="33"/>
      <c r="N250" s="6"/>
      <c r="O250" s="6"/>
    </row>
    <row r="251" spans="2:15">
      <c r="B251" s="6">
        <v>40</v>
      </c>
      <c r="C251" s="6" t="s">
        <v>353</v>
      </c>
      <c r="D251" s="6" t="s">
        <v>103</v>
      </c>
      <c r="E251" s="6" t="s">
        <v>25</v>
      </c>
      <c r="F251" s="6">
        <v>4930</v>
      </c>
      <c r="G251" s="6" t="s">
        <v>354</v>
      </c>
      <c r="H251" s="6">
        <v>26</v>
      </c>
      <c r="I251" s="6"/>
      <c r="J251" s="10" t="s">
        <v>24</v>
      </c>
      <c r="K251" s="28"/>
      <c r="L251" s="6"/>
      <c r="M251" s="6"/>
      <c r="N251" s="6"/>
      <c r="O251" s="6"/>
    </row>
    <row r="252" spans="2:15">
      <c r="B252" s="6"/>
      <c r="C252" s="6"/>
      <c r="D252" s="6"/>
      <c r="E252" s="6" t="s">
        <v>25</v>
      </c>
      <c r="F252" s="6">
        <v>4930</v>
      </c>
      <c r="G252" s="6" t="s">
        <v>355</v>
      </c>
      <c r="H252" s="6">
        <v>8</v>
      </c>
      <c r="I252" s="6"/>
      <c r="J252" s="10" t="s">
        <v>24</v>
      </c>
      <c r="K252" s="28"/>
      <c r="L252" s="6"/>
      <c r="M252" s="6"/>
      <c r="N252" s="6"/>
      <c r="O252" s="6"/>
    </row>
    <row r="253" spans="2:15">
      <c r="B253" s="6"/>
      <c r="C253" s="6"/>
      <c r="D253" s="6"/>
      <c r="E253" s="6"/>
      <c r="F253" s="6">
        <v>4980</v>
      </c>
      <c r="G253" s="6" t="s">
        <v>356</v>
      </c>
      <c r="H253" s="9">
        <v>10</v>
      </c>
      <c r="I253" s="9"/>
      <c r="J253" s="9" t="s">
        <v>18</v>
      </c>
      <c r="K253" s="28"/>
      <c r="L253" s="6"/>
      <c r="M253" s="6"/>
      <c r="N253" s="6" t="s">
        <v>357</v>
      </c>
      <c r="O253" s="6"/>
    </row>
    <row r="254" spans="2:15">
      <c r="B254" s="6"/>
      <c r="C254" s="6"/>
      <c r="D254" s="6"/>
      <c r="E254" s="6"/>
      <c r="F254" s="6">
        <v>5040</v>
      </c>
      <c r="G254" s="6" t="s">
        <v>358</v>
      </c>
      <c r="H254" s="6">
        <v>16</v>
      </c>
      <c r="I254" s="6"/>
      <c r="J254" s="10" t="s">
        <v>24</v>
      </c>
      <c r="K254" s="28"/>
      <c r="L254" s="6"/>
      <c r="M254" s="6"/>
      <c r="N254" s="6"/>
      <c r="O254" s="6"/>
    </row>
    <row r="255" spans="2:15">
      <c r="B255" s="6"/>
      <c r="C255" s="6"/>
      <c r="D255" s="6"/>
      <c r="E255" s="6"/>
      <c r="F255" s="6">
        <v>5550</v>
      </c>
      <c r="G255" s="6" t="s">
        <v>359</v>
      </c>
      <c r="H255" s="6">
        <v>6</v>
      </c>
      <c r="I255" s="6"/>
      <c r="J255" s="10" t="s">
        <v>24</v>
      </c>
      <c r="K255" s="28"/>
      <c r="L255" s="6"/>
      <c r="M255" s="6"/>
      <c r="N255" s="6"/>
      <c r="O255" s="6"/>
    </row>
    <row r="256" spans="2:15">
      <c r="B256" s="6"/>
      <c r="C256" s="6"/>
      <c r="D256" s="6"/>
      <c r="E256" s="6"/>
      <c r="F256" s="6">
        <v>5790</v>
      </c>
      <c r="G256" s="6" t="s">
        <v>360</v>
      </c>
      <c r="H256" s="6">
        <v>24</v>
      </c>
      <c r="I256" s="6"/>
      <c r="J256" s="10" t="s">
        <v>24</v>
      </c>
      <c r="K256" s="28"/>
      <c r="L256" s="6"/>
      <c r="M256" s="6"/>
      <c r="N256" s="6"/>
      <c r="O256" s="6"/>
    </row>
    <row r="257" spans="2:15">
      <c r="B257" s="6"/>
      <c r="C257" s="6"/>
      <c r="D257" s="6"/>
      <c r="E257" s="6"/>
      <c r="F257" s="6">
        <v>5790</v>
      </c>
      <c r="G257" s="6" t="s">
        <v>361</v>
      </c>
      <c r="H257" s="6">
        <v>21</v>
      </c>
      <c r="I257" s="6"/>
      <c r="J257" s="10" t="s">
        <v>24</v>
      </c>
      <c r="K257" s="28"/>
      <c r="L257" s="6"/>
      <c r="M257" s="6"/>
      <c r="N257" s="6"/>
      <c r="O257" s="6"/>
    </row>
    <row r="258" spans="2:15">
      <c r="B258" s="6"/>
      <c r="C258" s="6"/>
      <c r="D258" s="6"/>
      <c r="E258" s="6"/>
      <c r="F258" s="6">
        <v>5880</v>
      </c>
      <c r="G258" s="6" t="s">
        <v>362</v>
      </c>
      <c r="H258" s="6">
        <v>10</v>
      </c>
      <c r="I258" s="6"/>
      <c r="J258" s="7" t="s">
        <v>21</v>
      </c>
      <c r="K258" s="28"/>
      <c r="L258" s="6"/>
      <c r="M258" s="6"/>
      <c r="N258" s="6"/>
      <c r="O258" s="6"/>
    </row>
    <row r="259" spans="2:15">
      <c r="B259" s="6"/>
      <c r="C259" s="6"/>
      <c r="D259" s="6"/>
      <c r="E259" s="6"/>
      <c r="F259" s="6">
        <v>5880</v>
      </c>
      <c r="G259" s="6" t="s">
        <v>363</v>
      </c>
      <c r="H259" s="6">
        <v>6</v>
      </c>
      <c r="I259" s="6"/>
      <c r="J259" s="7" t="s">
        <v>21</v>
      </c>
      <c r="K259" s="28"/>
      <c r="L259" s="6"/>
      <c r="M259" s="6"/>
      <c r="N259" s="6"/>
      <c r="O259" s="6"/>
    </row>
    <row r="260" spans="2:15">
      <c r="B260" s="6"/>
      <c r="C260" s="6"/>
      <c r="D260" s="6"/>
      <c r="E260" s="6"/>
      <c r="F260" s="6">
        <v>5880</v>
      </c>
      <c r="G260" s="6" t="s">
        <v>364</v>
      </c>
      <c r="H260" s="6">
        <v>10</v>
      </c>
      <c r="I260" s="6"/>
      <c r="J260" s="7" t="s">
        <v>21</v>
      </c>
      <c r="K260" s="28"/>
      <c r="L260" s="6"/>
      <c r="M260" s="6"/>
      <c r="N260" s="6"/>
      <c r="O260" s="6"/>
    </row>
    <row r="261" spans="2:15">
      <c r="B261" s="6"/>
      <c r="C261" s="6"/>
      <c r="D261" s="6"/>
      <c r="E261" s="6"/>
      <c r="F261" s="6">
        <v>6110</v>
      </c>
      <c r="G261" s="6" t="s">
        <v>365</v>
      </c>
      <c r="H261" s="6">
        <v>20</v>
      </c>
      <c r="I261" s="6"/>
      <c r="J261" s="10" t="s">
        <v>24</v>
      </c>
      <c r="K261" s="28"/>
      <c r="L261" s="6"/>
      <c r="M261" s="6"/>
      <c r="N261" s="6"/>
      <c r="O261" s="6"/>
    </row>
    <row r="262" spans="2:15">
      <c r="B262" s="6"/>
      <c r="C262" s="6"/>
      <c r="D262" s="6"/>
      <c r="E262" s="6"/>
      <c r="F262" s="6">
        <v>6200</v>
      </c>
      <c r="G262" s="6" t="s">
        <v>366</v>
      </c>
      <c r="H262" s="6">
        <v>14</v>
      </c>
      <c r="I262" s="6"/>
      <c r="J262" s="10" t="s">
        <v>24</v>
      </c>
      <c r="K262" s="28"/>
      <c r="L262" s="6"/>
      <c r="M262" s="6"/>
      <c r="N262" s="6"/>
      <c r="O262" s="6"/>
    </row>
    <row r="263" spans="2:15">
      <c r="B263" s="6"/>
      <c r="C263" s="6"/>
      <c r="D263" s="6"/>
      <c r="E263" s="6"/>
      <c r="F263" s="6">
        <v>6200</v>
      </c>
      <c r="G263" s="6" t="s">
        <v>367</v>
      </c>
      <c r="H263" s="6">
        <v>10</v>
      </c>
      <c r="I263" s="6"/>
      <c r="J263" s="7" t="s">
        <v>21</v>
      </c>
      <c r="K263" s="28"/>
      <c r="L263" s="6"/>
      <c r="M263" s="6"/>
      <c r="N263" s="6"/>
      <c r="O263" s="6"/>
    </row>
    <row r="264" spans="2:15">
      <c r="B264" s="6"/>
      <c r="C264" s="6"/>
      <c r="D264" s="6"/>
      <c r="E264" s="6"/>
      <c r="F264" s="6">
        <v>6200</v>
      </c>
      <c r="G264" s="6" t="s">
        <v>368</v>
      </c>
      <c r="H264" s="6">
        <v>3</v>
      </c>
      <c r="I264" s="6"/>
      <c r="J264" s="10" t="s">
        <v>24</v>
      </c>
      <c r="K264" s="28"/>
      <c r="L264" s="6"/>
      <c r="M264" s="6"/>
      <c r="N264" s="6"/>
      <c r="O264" s="6"/>
    </row>
    <row r="265" spans="2:15">
      <c r="B265" s="6"/>
      <c r="C265" s="6"/>
      <c r="D265" s="6"/>
      <c r="E265" s="6"/>
      <c r="F265" s="6">
        <v>6250</v>
      </c>
      <c r="G265" s="6" t="s">
        <v>369</v>
      </c>
      <c r="H265" s="6">
        <v>8</v>
      </c>
      <c r="I265" s="6"/>
      <c r="J265" s="7" t="s">
        <v>21</v>
      </c>
      <c r="K265" s="28"/>
      <c r="L265" s="6"/>
      <c r="M265" s="6"/>
      <c r="N265" s="6"/>
      <c r="O265" s="6"/>
    </row>
    <row r="266" spans="2:15">
      <c r="B266" s="6"/>
      <c r="C266" s="6"/>
      <c r="D266" s="6"/>
      <c r="E266" s="6"/>
      <c r="F266" s="6">
        <v>6350</v>
      </c>
      <c r="G266" s="6" t="s">
        <v>370</v>
      </c>
      <c r="H266" s="6">
        <v>10</v>
      </c>
      <c r="I266" s="6"/>
      <c r="J266" s="7" t="s">
        <v>21</v>
      </c>
      <c r="K266" s="28"/>
      <c r="L266" s="6"/>
      <c r="M266" s="6"/>
      <c r="N266" s="6"/>
      <c r="O266" s="6"/>
    </row>
    <row r="267" spans="2:15">
      <c r="B267" s="6"/>
      <c r="C267" s="6"/>
      <c r="D267" s="6"/>
      <c r="E267" s="6"/>
      <c r="F267" s="6">
        <v>6350</v>
      </c>
      <c r="G267" s="6" t="s">
        <v>371</v>
      </c>
      <c r="H267" s="6">
        <v>10</v>
      </c>
      <c r="I267" s="6"/>
      <c r="J267" s="10" t="s">
        <v>24</v>
      </c>
      <c r="K267" s="28"/>
      <c r="L267" s="6"/>
      <c r="M267" s="6"/>
      <c r="N267" s="6"/>
      <c r="O267" s="6"/>
    </row>
    <row r="268" spans="2:15">
      <c r="B268" s="6"/>
      <c r="C268" s="6"/>
      <c r="D268" s="6"/>
      <c r="E268" s="6"/>
      <c r="F268" s="6">
        <v>6350</v>
      </c>
      <c r="G268" s="6" t="s">
        <v>372</v>
      </c>
      <c r="H268" s="6">
        <v>10</v>
      </c>
      <c r="I268" s="6"/>
      <c r="J268" s="10" t="s">
        <v>24</v>
      </c>
      <c r="K268" s="28"/>
      <c r="L268" s="6"/>
      <c r="M268" s="6"/>
      <c r="N268" s="6"/>
      <c r="O268" s="6"/>
    </row>
    <row r="269" spans="2:15">
      <c r="B269" s="6"/>
      <c r="C269" s="6"/>
      <c r="D269" s="6"/>
      <c r="E269" s="6"/>
      <c r="F269" s="6">
        <v>6350</v>
      </c>
      <c r="G269" s="6" t="s">
        <v>373</v>
      </c>
      <c r="H269" s="6">
        <v>12</v>
      </c>
      <c r="I269" s="6"/>
      <c r="J269" s="10" t="s">
        <v>24</v>
      </c>
      <c r="K269" s="28"/>
      <c r="L269" s="6"/>
      <c r="M269" s="6"/>
      <c r="N269" s="6"/>
      <c r="O269" s="6"/>
    </row>
    <row r="270" spans="2:15">
      <c r="B270" s="6">
        <v>41</v>
      </c>
      <c r="C270" s="6" t="s">
        <v>374</v>
      </c>
      <c r="D270" s="6" t="s">
        <v>103</v>
      </c>
      <c r="E270" s="6"/>
      <c r="F270" s="6"/>
      <c r="G270" s="6" t="s">
        <v>375</v>
      </c>
      <c r="H270" s="6">
        <v>6</v>
      </c>
      <c r="I270" s="6"/>
      <c r="J270" s="7" t="s">
        <v>21</v>
      </c>
      <c r="K270" s="6"/>
      <c r="L270" s="6"/>
      <c r="M270" s="6"/>
      <c r="N270" s="6" t="s">
        <v>153</v>
      </c>
      <c r="O270" s="6"/>
    </row>
    <row r="271" spans="2:15">
      <c r="B271" s="6"/>
      <c r="C271" s="6"/>
      <c r="D271" s="6"/>
      <c r="E271" s="6"/>
      <c r="F271" s="6"/>
      <c r="G271" s="6" t="s">
        <v>376</v>
      </c>
      <c r="H271" s="6">
        <v>2</v>
      </c>
      <c r="I271" s="6"/>
      <c r="J271" s="10" t="s">
        <v>24</v>
      </c>
      <c r="K271" s="6"/>
      <c r="L271" s="6"/>
      <c r="M271" s="6"/>
      <c r="N271" s="6"/>
      <c r="O271" s="6"/>
    </row>
    <row r="272" spans="2:15">
      <c r="B272" s="6"/>
      <c r="C272" s="6"/>
      <c r="D272" s="6"/>
      <c r="E272" s="6"/>
      <c r="F272" s="6"/>
      <c r="G272" s="6" t="s">
        <v>377</v>
      </c>
      <c r="H272" s="6">
        <v>4</v>
      </c>
      <c r="I272" s="6"/>
      <c r="J272" s="10" t="s">
        <v>24</v>
      </c>
      <c r="K272" s="6"/>
      <c r="L272" s="6"/>
      <c r="M272" s="6"/>
      <c r="N272" s="6"/>
      <c r="O272" s="6"/>
    </row>
    <row r="273" spans="2:15">
      <c r="B273" s="6"/>
      <c r="C273" s="6"/>
      <c r="D273" s="6"/>
      <c r="E273" s="6"/>
      <c r="F273" s="6"/>
      <c r="G273" s="6" t="s">
        <v>378</v>
      </c>
      <c r="H273" s="6">
        <v>4</v>
      </c>
      <c r="I273" s="6"/>
      <c r="J273" s="10" t="s">
        <v>24</v>
      </c>
      <c r="K273" s="6"/>
      <c r="L273" s="6"/>
      <c r="M273" s="6"/>
      <c r="N273" s="6"/>
      <c r="O273" s="6"/>
    </row>
    <row r="274" spans="2:15">
      <c r="B274" s="6"/>
      <c r="C274" s="6"/>
      <c r="D274" s="6"/>
      <c r="E274" s="6"/>
      <c r="F274" s="6"/>
      <c r="G274" s="6" t="s">
        <v>379</v>
      </c>
      <c r="H274" s="6">
        <v>4</v>
      </c>
      <c r="I274" s="6"/>
      <c r="J274" s="7" t="s">
        <v>21</v>
      </c>
      <c r="K274" s="6"/>
      <c r="L274" s="6"/>
      <c r="M274" s="6"/>
      <c r="N274" s="6"/>
      <c r="O274" s="6"/>
    </row>
    <row r="275" spans="2:15">
      <c r="B275" s="6"/>
      <c r="C275" s="6"/>
      <c r="D275" s="6"/>
      <c r="E275" s="6"/>
      <c r="F275" s="6"/>
      <c r="G275" s="6" t="s">
        <v>380</v>
      </c>
      <c r="H275" s="6">
        <v>8</v>
      </c>
      <c r="I275" s="6"/>
      <c r="J275" s="7" t="s">
        <v>21</v>
      </c>
      <c r="K275" s="6"/>
      <c r="L275" s="6"/>
      <c r="M275" s="6"/>
      <c r="N275" s="6"/>
      <c r="O275" s="6"/>
    </row>
    <row r="276" spans="2:15">
      <c r="B276" s="6"/>
      <c r="C276" s="6"/>
      <c r="D276" s="6"/>
      <c r="E276" s="6"/>
      <c r="F276" s="6"/>
      <c r="G276" s="6" t="s">
        <v>381</v>
      </c>
      <c r="H276" s="6">
        <v>6</v>
      </c>
      <c r="I276" s="6"/>
      <c r="J276" s="10" t="s">
        <v>24</v>
      </c>
      <c r="K276" s="6"/>
      <c r="L276" s="6"/>
      <c r="M276" s="6"/>
      <c r="N276" s="6"/>
      <c r="O276" s="6"/>
    </row>
    <row r="277" spans="2:15">
      <c r="B277" s="6"/>
      <c r="C277" s="6"/>
      <c r="D277" s="6"/>
      <c r="E277" s="6"/>
      <c r="F277" s="6"/>
      <c r="G277" s="6" t="s">
        <v>382</v>
      </c>
      <c r="H277" s="6">
        <v>6</v>
      </c>
      <c r="I277" s="6"/>
      <c r="J277" s="10" t="s">
        <v>24</v>
      </c>
      <c r="K277" s="6"/>
      <c r="L277" s="6"/>
      <c r="M277" s="6"/>
      <c r="N277" s="6"/>
      <c r="O277" s="6"/>
    </row>
    <row r="278" spans="2:15">
      <c r="B278" s="6"/>
      <c r="C278" s="6"/>
      <c r="D278" s="6"/>
      <c r="E278" s="6"/>
      <c r="F278" s="6"/>
      <c r="G278" s="6" t="s">
        <v>383</v>
      </c>
      <c r="H278" s="6">
        <v>4</v>
      </c>
      <c r="I278" s="6"/>
      <c r="J278" s="7" t="s">
        <v>21</v>
      </c>
      <c r="K278" s="6"/>
      <c r="L278" s="6"/>
      <c r="M278" s="6"/>
      <c r="N278" s="6"/>
      <c r="O278" s="6"/>
    </row>
    <row r="279" spans="2:15">
      <c r="B279" s="6"/>
      <c r="C279" s="6"/>
      <c r="D279" s="6"/>
      <c r="E279" s="6"/>
      <c r="F279" s="6"/>
      <c r="G279" s="6" t="s">
        <v>384</v>
      </c>
      <c r="H279" s="6">
        <v>7</v>
      </c>
      <c r="I279" s="6"/>
      <c r="J279" s="10" t="s">
        <v>24</v>
      </c>
      <c r="K279" s="6"/>
      <c r="L279" s="6"/>
      <c r="M279" s="6"/>
      <c r="N279" s="6"/>
      <c r="O279" s="6"/>
    </row>
    <row r="280" spans="2:15">
      <c r="B280" s="6"/>
      <c r="C280" s="6"/>
      <c r="D280" s="6"/>
      <c r="E280" s="6"/>
      <c r="F280" s="6"/>
      <c r="G280" s="6" t="s">
        <v>385</v>
      </c>
      <c r="H280" s="6">
        <v>8</v>
      </c>
      <c r="I280" s="6"/>
      <c r="J280" s="7" t="s">
        <v>21</v>
      </c>
      <c r="K280" s="6"/>
      <c r="L280" s="6"/>
      <c r="M280" s="6"/>
      <c r="N280" s="6"/>
      <c r="O280" s="6"/>
    </row>
    <row r="281" spans="2:15">
      <c r="B281" s="6"/>
      <c r="C281" s="6"/>
      <c r="D281" s="6"/>
      <c r="E281" s="6"/>
      <c r="F281" s="6"/>
      <c r="G281" s="6" t="s">
        <v>386</v>
      </c>
      <c r="H281" s="6">
        <v>7</v>
      </c>
      <c r="I281" s="6"/>
      <c r="J281" s="10" t="s">
        <v>24</v>
      </c>
      <c r="K281" s="6"/>
      <c r="L281" s="6"/>
      <c r="M281" s="6"/>
      <c r="N281" s="6"/>
      <c r="O281" s="6"/>
    </row>
    <row r="282" spans="2:15">
      <c r="B282" s="6"/>
      <c r="C282" s="6"/>
      <c r="D282" s="6"/>
      <c r="E282" s="6"/>
      <c r="F282" s="6"/>
      <c r="G282" s="6" t="s">
        <v>387</v>
      </c>
      <c r="H282" s="6">
        <v>134</v>
      </c>
      <c r="I282" s="6"/>
      <c r="J282" s="7" t="s">
        <v>21</v>
      </c>
      <c r="K282" s="6"/>
      <c r="L282" s="6"/>
      <c r="M282" s="6"/>
      <c r="N282" s="6"/>
      <c r="O282" s="6"/>
    </row>
    <row r="283" spans="2:15">
      <c r="B283" s="6">
        <v>42</v>
      </c>
      <c r="C283" s="6" t="s">
        <v>388</v>
      </c>
      <c r="D283" s="6" t="s">
        <v>103</v>
      </c>
      <c r="E283" s="6" t="s">
        <v>54</v>
      </c>
      <c r="F283" s="6">
        <v>2800</v>
      </c>
      <c r="G283" s="6" t="s">
        <v>389</v>
      </c>
      <c r="H283" s="6">
        <v>8</v>
      </c>
      <c r="I283" s="6"/>
      <c r="J283" s="7" t="s">
        <v>21</v>
      </c>
      <c r="K283" s="28"/>
      <c r="L283" s="6"/>
      <c r="M283" s="6"/>
      <c r="N283" s="6" t="s">
        <v>153</v>
      </c>
      <c r="O283" s="6"/>
    </row>
    <row r="284" spans="2:15">
      <c r="B284" s="6"/>
      <c r="C284" s="6"/>
      <c r="D284" s="6"/>
      <c r="E284" s="6" t="s">
        <v>54</v>
      </c>
      <c r="F284" s="6">
        <v>2800</v>
      </c>
      <c r="G284" s="6" t="s">
        <v>390</v>
      </c>
      <c r="H284" s="6">
        <v>3</v>
      </c>
      <c r="I284" s="6"/>
      <c r="J284" s="7" t="s">
        <v>21</v>
      </c>
      <c r="K284" s="28"/>
      <c r="L284" s="6"/>
      <c r="M284" s="6"/>
      <c r="N284" s="6"/>
      <c r="O284" s="6"/>
    </row>
    <row r="285" spans="2:15">
      <c r="B285" s="6"/>
      <c r="C285" s="6"/>
      <c r="D285" s="6"/>
      <c r="E285" s="6" t="s">
        <v>54</v>
      </c>
      <c r="F285" s="6">
        <v>2900</v>
      </c>
      <c r="G285" s="6" t="s">
        <v>391</v>
      </c>
      <c r="H285" s="6">
        <v>11</v>
      </c>
      <c r="I285" s="6"/>
      <c r="J285" s="10" t="s">
        <v>24</v>
      </c>
      <c r="K285" s="28"/>
      <c r="L285" s="6"/>
      <c r="M285" s="6"/>
      <c r="N285" s="6"/>
      <c r="O285" s="6"/>
    </row>
    <row r="286" spans="2:15">
      <c r="B286" s="6"/>
      <c r="C286" s="6"/>
      <c r="D286" s="6"/>
      <c r="E286" s="6" t="s">
        <v>54</v>
      </c>
      <c r="F286" s="6">
        <v>2900</v>
      </c>
      <c r="G286" s="6" t="s">
        <v>392</v>
      </c>
      <c r="H286" s="6">
        <v>15</v>
      </c>
      <c r="I286" s="6"/>
      <c r="J286" s="7" t="s">
        <v>21</v>
      </c>
      <c r="K286" s="28"/>
      <c r="L286" s="6"/>
      <c r="M286" s="6"/>
      <c r="N286" s="6"/>
      <c r="O286" s="6"/>
    </row>
    <row r="287" spans="2:15">
      <c r="B287" s="6"/>
      <c r="C287" s="6"/>
      <c r="D287" s="6"/>
      <c r="E287" s="6" t="s">
        <v>54</v>
      </c>
      <c r="F287" s="6">
        <v>2900</v>
      </c>
      <c r="G287" s="6" t="s">
        <v>393</v>
      </c>
      <c r="H287" s="6">
        <v>37</v>
      </c>
      <c r="I287" s="6"/>
      <c r="J287" s="10" t="s">
        <v>24</v>
      </c>
      <c r="K287" s="28"/>
      <c r="L287" s="6"/>
      <c r="M287" s="6"/>
      <c r="N287" s="6"/>
      <c r="O287" s="6"/>
    </row>
    <row r="288" spans="2:15">
      <c r="B288" s="6"/>
      <c r="C288" s="6"/>
      <c r="D288" s="6"/>
      <c r="E288" s="6" t="s">
        <v>54</v>
      </c>
      <c r="F288" s="6">
        <v>3020</v>
      </c>
      <c r="G288" s="6" t="s">
        <v>394</v>
      </c>
      <c r="H288" s="6">
        <v>10</v>
      </c>
      <c r="I288" s="6"/>
      <c r="J288" s="10" t="s">
        <v>24</v>
      </c>
      <c r="K288" s="28"/>
      <c r="L288" s="6"/>
      <c r="M288" s="6"/>
      <c r="N288" s="6"/>
      <c r="O288" s="6"/>
    </row>
    <row r="289" spans="2:15">
      <c r="B289" s="6"/>
      <c r="C289" s="6"/>
      <c r="D289" s="6"/>
      <c r="E289" s="6" t="s">
        <v>54</v>
      </c>
      <c r="F289" s="6">
        <v>3050</v>
      </c>
      <c r="G289" s="6" t="s">
        <v>395</v>
      </c>
      <c r="H289" s="6">
        <v>6</v>
      </c>
      <c r="I289" s="6"/>
      <c r="J289" s="10" t="s">
        <v>24</v>
      </c>
      <c r="K289" s="28"/>
      <c r="L289" s="6"/>
      <c r="M289" s="6"/>
      <c r="N289" s="6"/>
      <c r="O289" s="6"/>
    </row>
    <row r="290" spans="2:15">
      <c r="B290" s="6"/>
      <c r="C290" s="6"/>
      <c r="D290" s="6"/>
      <c r="E290" s="6" t="s">
        <v>54</v>
      </c>
      <c r="F290" s="6">
        <v>3050</v>
      </c>
      <c r="G290" s="6" t="s">
        <v>396</v>
      </c>
      <c r="H290" s="6">
        <v>8</v>
      </c>
      <c r="I290" s="6"/>
      <c r="J290" s="10" t="s">
        <v>24</v>
      </c>
      <c r="K290" s="28"/>
      <c r="L290" s="6"/>
      <c r="M290" s="6"/>
      <c r="N290" s="6"/>
      <c r="O290" s="6"/>
    </row>
    <row r="291" spans="2:15">
      <c r="B291" s="6"/>
      <c r="C291" s="6"/>
      <c r="D291" s="6"/>
      <c r="E291" s="6" t="s">
        <v>54</v>
      </c>
      <c r="F291" s="6">
        <v>3150</v>
      </c>
      <c r="G291" s="6" t="s">
        <v>397</v>
      </c>
      <c r="H291" s="6">
        <v>9</v>
      </c>
      <c r="I291" s="6"/>
      <c r="J291" s="10" t="s">
        <v>24</v>
      </c>
      <c r="K291" s="28"/>
      <c r="L291" s="6"/>
      <c r="M291" s="6"/>
      <c r="N291" s="6"/>
      <c r="O291" s="6"/>
    </row>
    <row r="292" spans="2:15">
      <c r="B292" s="6"/>
      <c r="C292" s="6"/>
      <c r="D292" s="6"/>
      <c r="E292" s="6" t="s">
        <v>54</v>
      </c>
      <c r="F292" s="6">
        <v>3200</v>
      </c>
      <c r="G292" s="6" t="s">
        <v>398</v>
      </c>
      <c r="H292" s="6">
        <v>9</v>
      </c>
      <c r="I292" s="6"/>
      <c r="J292" s="10" t="s">
        <v>24</v>
      </c>
      <c r="K292" s="28"/>
      <c r="L292" s="6"/>
      <c r="M292" s="6"/>
      <c r="N292" s="6"/>
      <c r="O292" s="6"/>
    </row>
    <row r="293" spans="2:15">
      <c r="B293" s="6"/>
      <c r="C293" s="6"/>
      <c r="D293" s="6"/>
      <c r="E293" s="6" t="s">
        <v>54</v>
      </c>
      <c r="F293" s="6">
        <v>3200</v>
      </c>
      <c r="G293" s="6" t="s">
        <v>399</v>
      </c>
      <c r="H293" s="6">
        <v>6</v>
      </c>
      <c r="I293" s="6"/>
      <c r="J293" s="10" t="s">
        <v>24</v>
      </c>
      <c r="K293" s="28"/>
      <c r="L293" s="6"/>
      <c r="M293" s="6"/>
      <c r="N293" s="6"/>
      <c r="O293" s="6"/>
    </row>
    <row r="294" spans="2:15">
      <c r="B294" s="6">
        <v>43</v>
      </c>
      <c r="C294" s="6" t="s">
        <v>400</v>
      </c>
      <c r="D294" s="6" t="s">
        <v>103</v>
      </c>
      <c r="E294" s="6" t="s">
        <v>54</v>
      </c>
      <c r="F294" s="6">
        <v>4650</v>
      </c>
      <c r="G294" s="6" t="s">
        <v>401</v>
      </c>
      <c r="H294" s="6">
        <v>10</v>
      </c>
      <c r="I294" s="6"/>
      <c r="J294" s="10" t="s">
        <v>24</v>
      </c>
      <c r="K294" s="28"/>
      <c r="L294" s="6"/>
      <c r="M294" s="6"/>
      <c r="N294" s="6"/>
      <c r="O294" s="6"/>
    </row>
    <row r="295" spans="2:15">
      <c r="B295" s="6"/>
      <c r="C295" s="6"/>
      <c r="D295" s="6"/>
      <c r="E295" s="6" t="s">
        <v>54</v>
      </c>
      <c r="F295" s="6"/>
      <c r="G295" s="6" t="s">
        <v>402</v>
      </c>
      <c r="H295" s="6">
        <v>10</v>
      </c>
      <c r="I295" s="6"/>
      <c r="J295" s="10" t="s">
        <v>24</v>
      </c>
      <c r="K295" s="28"/>
      <c r="L295" s="6"/>
      <c r="M295" s="6"/>
      <c r="N295" s="6"/>
      <c r="O295" s="6"/>
    </row>
    <row r="296" spans="2:15">
      <c r="B296" s="6"/>
      <c r="C296" s="6"/>
      <c r="D296" s="6"/>
      <c r="E296" s="6" t="s">
        <v>54</v>
      </c>
      <c r="F296" s="6"/>
      <c r="G296" s="6" t="s">
        <v>403</v>
      </c>
      <c r="H296" s="9">
        <v>6</v>
      </c>
      <c r="I296" s="6"/>
      <c r="J296" s="9" t="s">
        <v>18</v>
      </c>
      <c r="K296" s="28"/>
      <c r="L296" s="6"/>
      <c r="M296" s="6"/>
      <c r="N296" s="6"/>
      <c r="O296" s="6"/>
    </row>
    <row r="297" spans="2:15">
      <c r="B297" s="6"/>
      <c r="C297" s="6"/>
      <c r="D297" s="6"/>
      <c r="E297" s="6" t="s">
        <v>54</v>
      </c>
      <c r="F297" s="6">
        <v>4890</v>
      </c>
      <c r="G297" s="6" t="s">
        <v>404</v>
      </c>
      <c r="H297" s="6">
        <v>7</v>
      </c>
      <c r="I297" s="6"/>
      <c r="J297" s="10" t="s">
        <v>24</v>
      </c>
      <c r="K297" s="28"/>
      <c r="L297" s="6"/>
      <c r="M297" s="6"/>
      <c r="N297" s="6"/>
      <c r="O297" s="6"/>
    </row>
    <row r="298" spans="2:15">
      <c r="B298" s="6"/>
      <c r="C298" s="6"/>
      <c r="D298" s="6"/>
      <c r="E298" s="6" t="s">
        <v>54</v>
      </c>
      <c r="F298" s="6"/>
      <c r="G298" s="6" t="s">
        <v>405</v>
      </c>
      <c r="H298" s="6">
        <v>8</v>
      </c>
      <c r="I298" s="6"/>
      <c r="J298" s="10" t="s">
        <v>24</v>
      </c>
      <c r="K298" s="28"/>
      <c r="L298" s="6"/>
      <c r="M298" s="6"/>
      <c r="N298" s="6"/>
      <c r="O298" s="6"/>
    </row>
    <row r="299" spans="2:15">
      <c r="B299" s="6"/>
      <c r="C299" s="6"/>
      <c r="D299" s="6"/>
      <c r="E299" s="6" t="s">
        <v>61</v>
      </c>
      <c r="F299" s="6"/>
      <c r="G299" s="6" t="s">
        <v>406</v>
      </c>
      <c r="H299" s="9">
        <v>12</v>
      </c>
      <c r="I299" s="9"/>
      <c r="J299" s="9" t="s">
        <v>18</v>
      </c>
      <c r="K299" s="28"/>
      <c r="L299" s="6"/>
      <c r="M299" s="6"/>
      <c r="N299" s="6"/>
      <c r="O299" s="6"/>
    </row>
    <row r="300" spans="2:15">
      <c r="B300" s="6"/>
      <c r="C300" s="6"/>
      <c r="D300" s="6"/>
      <c r="E300" s="6" t="s">
        <v>61</v>
      </c>
      <c r="F300" s="6">
        <v>5050</v>
      </c>
      <c r="G300" s="6" t="s">
        <v>407</v>
      </c>
      <c r="H300" s="6">
        <v>8</v>
      </c>
      <c r="I300" s="6"/>
      <c r="J300" s="7" t="s">
        <v>21</v>
      </c>
      <c r="K300" s="28"/>
      <c r="L300" s="6"/>
      <c r="M300" s="6"/>
      <c r="N300" s="6"/>
      <c r="O300" s="6"/>
    </row>
    <row r="301" spans="2:15">
      <c r="B301" s="6"/>
      <c r="C301" s="6"/>
      <c r="D301" s="6"/>
      <c r="E301" s="6" t="s">
        <v>16</v>
      </c>
      <c r="F301" s="6"/>
      <c r="G301" s="6" t="s">
        <v>408</v>
      </c>
      <c r="H301" s="9">
        <v>10</v>
      </c>
      <c r="I301" s="6"/>
      <c r="J301" s="9" t="s">
        <v>18</v>
      </c>
      <c r="K301" s="28"/>
      <c r="L301" s="6"/>
      <c r="M301" s="6"/>
      <c r="N301" s="6"/>
      <c r="O301" s="6"/>
    </row>
    <row r="302" spans="2:15">
      <c r="B302" s="6"/>
      <c r="C302" s="6"/>
      <c r="D302" s="6"/>
      <c r="E302" s="6" t="s">
        <v>16</v>
      </c>
      <c r="F302" s="6">
        <v>5100</v>
      </c>
      <c r="G302" s="6" t="s">
        <v>409</v>
      </c>
      <c r="H302" s="6">
        <v>6</v>
      </c>
      <c r="I302" s="6"/>
      <c r="J302" s="10" t="s">
        <v>24</v>
      </c>
      <c r="K302" s="28"/>
      <c r="L302" s="6"/>
      <c r="M302" s="6"/>
      <c r="N302" s="6"/>
      <c r="O302" s="6"/>
    </row>
    <row r="303" spans="2:15">
      <c r="B303" s="6"/>
      <c r="C303" s="6"/>
      <c r="D303" s="6"/>
      <c r="E303" s="6" t="s">
        <v>16</v>
      </c>
      <c r="F303" s="6"/>
      <c r="G303" s="6" t="s">
        <v>410</v>
      </c>
      <c r="H303" s="6">
        <v>10</v>
      </c>
      <c r="I303" s="6"/>
      <c r="J303" s="10" t="s">
        <v>24</v>
      </c>
      <c r="K303" s="28"/>
      <c r="L303" s="6"/>
      <c r="M303" s="6"/>
      <c r="N303" s="6"/>
      <c r="O303" s="6"/>
    </row>
    <row r="304" spans="2:15">
      <c r="B304" s="6"/>
      <c r="C304" s="6"/>
      <c r="D304" s="6"/>
      <c r="E304" s="6" t="s">
        <v>16</v>
      </c>
      <c r="F304" s="6"/>
      <c r="G304" s="6" t="s">
        <v>411</v>
      </c>
      <c r="H304" s="6">
        <v>8</v>
      </c>
      <c r="I304" s="6"/>
      <c r="J304" s="10" t="s">
        <v>24</v>
      </c>
      <c r="K304" s="28"/>
      <c r="L304" s="6"/>
      <c r="M304" s="6"/>
      <c r="N304" s="6"/>
      <c r="O304" s="6"/>
    </row>
    <row r="305" spans="2:15">
      <c r="B305" s="6"/>
      <c r="C305" s="6"/>
      <c r="D305" s="6"/>
      <c r="E305" s="6" t="s">
        <v>16</v>
      </c>
      <c r="F305" s="6">
        <v>5160</v>
      </c>
      <c r="G305" s="6" t="s">
        <v>412</v>
      </c>
      <c r="H305" s="6">
        <v>8</v>
      </c>
      <c r="I305" s="6"/>
      <c r="J305" s="10" t="s">
        <v>24</v>
      </c>
      <c r="K305" s="28"/>
      <c r="L305" s="6"/>
      <c r="M305" s="6"/>
      <c r="N305" s="6"/>
      <c r="O305" s="6"/>
    </row>
    <row r="306" spans="2:15">
      <c r="B306" s="6"/>
      <c r="C306" s="6"/>
      <c r="D306" s="6"/>
      <c r="E306" s="6" t="s">
        <v>16</v>
      </c>
      <c r="F306" s="6"/>
      <c r="G306" s="6" t="s">
        <v>413</v>
      </c>
      <c r="H306" s="6">
        <v>8</v>
      </c>
      <c r="I306" s="6"/>
      <c r="J306" s="10" t="s">
        <v>24</v>
      </c>
      <c r="K306" s="28"/>
      <c r="L306" s="6"/>
      <c r="M306" s="6"/>
      <c r="N306" s="6"/>
      <c r="O306" s="6"/>
    </row>
    <row r="307" spans="2:15">
      <c r="B307" s="6"/>
      <c r="C307" s="6"/>
      <c r="D307" s="6"/>
      <c r="E307" s="6" t="s">
        <v>16</v>
      </c>
      <c r="F307" s="6"/>
      <c r="G307" s="6" t="s">
        <v>414</v>
      </c>
      <c r="H307" s="6">
        <v>10</v>
      </c>
      <c r="I307" s="6"/>
      <c r="J307" s="10" t="s">
        <v>24</v>
      </c>
      <c r="K307" s="28"/>
      <c r="L307" s="6"/>
      <c r="M307" s="6"/>
      <c r="N307" s="6"/>
      <c r="O307" s="6"/>
    </row>
    <row r="308" spans="2:15">
      <c r="B308" s="6"/>
      <c r="C308" s="6"/>
      <c r="D308" s="6"/>
      <c r="E308" s="6" t="s">
        <v>16</v>
      </c>
      <c r="F308" s="6"/>
      <c r="G308" s="6" t="s">
        <v>415</v>
      </c>
      <c r="H308" s="6">
        <v>4</v>
      </c>
      <c r="I308" s="6"/>
      <c r="J308" s="7" t="s">
        <v>21</v>
      </c>
      <c r="K308" s="28"/>
      <c r="L308" s="6"/>
      <c r="M308" s="6"/>
      <c r="N308" s="6"/>
      <c r="O308" s="6"/>
    </row>
    <row r="309" spans="2:15">
      <c r="B309" s="6">
        <v>44</v>
      </c>
      <c r="C309" s="6" t="s">
        <v>416</v>
      </c>
      <c r="D309" s="6" t="s">
        <v>103</v>
      </c>
      <c r="E309" s="6"/>
      <c r="F309" s="6"/>
      <c r="G309" s="6" t="s">
        <v>417</v>
      </c>
      <c r="H309" s="6">
        <v>12</v>
      </c>
      <c r="I309" s="6"/>
      <c r="J309" s="7" t="s">
        <v>21</v>
      </c>
      <c r="K309" s="28"/>
      <c r="L309" s="6"/>
      <c r="M309" s="6"/>
      <c r="N309" s="6"/>
      <c r="O309" s="6"/>
    </row>
    <row r="310" spans="2:15">
      <c r="B310" s="6"/>
      <c r="C310" s="6"/>
      <c r="D310" s="6"/>
      <c r="E310" s="6"/>
      <c r="F310" s="6"/>
      <c r="G310" s="6" t="s">
        <v>418</v>
      </c>
      <c r="H310" s="6">
        <v>10</v>
      </c>
      <c r="I310" s="6"/>
      <c r="J310" s="7" t="s">
        <v>21</v>
      </c>
      <c r="K310" s="28"/>
      <c r="L310" s="6"/>
      <c r="M310" s="6"/>
      <c r="N310" s="6"/>
      <c r="O310" s="6"/>
    </row>
    <row r="311" spans="2:15">
      <c r="B311" s="6"/>
      <c r="C311" s="6"/>
      <c r="D311" s="6"/>
      <c r="E311" s="6"/>
      <c r="F311" s="6"/>
      <c r="G311" s="6" t="s">
        <v>419</v>
      </c>
      <c r="H311" s="6">
        <v>10</v>
      </c>
      <c r="I311" s="6"/>
      <c r="J311" s="7" t="s">
        <v>21</v>
      </c>
      <c r="K311" s="28"/>
      <c r="L311" s="6"/>
      <c r="M311" s="6"/>
      <c r="N311" s="6"/>
      <c r="O311" s="6"/>
    </row>
    <row r="312" spans="2:15">
      <c r="B312" s="6"/>
      <c r="C312" s="6"/>
      <c r="D312" s="6"/>
      <c r="E312" s="6"/>
      <c r="F312" s="6"/>
      <c r="G312" s="6" t="s">
        <v>420</v>
      </c>
      <c r="H312" s="6">
        <v>10</v>
      </c>
      <c r="I312" s="6"/>
      <c r="J312" s="7" t="s">
        <v>21</v>
      </c>
      <c r="K312" s="28"/>
      <c r="L312" s="6"/>
      <c r="M312" s="6"/>
      <c r="N312" s="6"/>
      <c r="O312" s="6"/>
    </row>
    <row r="313" spans="2:15">
      <c r="B313" s="6"/>
      <c r="C313" s="6"/>
      <c r="D313" s="6"/>
      <c r="E313" s="6"/>
      <c r="F313" s="6"/>
      <c r="G313" s="6" t="s">
        <v>421</v>
      </c>
      <c r="H313" s="9">
        <v>30</v>
      </c>
      <c r="I313" s="6"/>
      <c r="J313" s="9" t="s">
        <v>18</v>
      </c>
      <c r="K313" s="28"/>
      <c r="L313" s="6"/>
      <c r="M313" s="6"/>
      <c r="N313" s="6"/>
      <c r="O313" s="6"/>
    </row>
    <row r="314" spans="2:15">
      <c r="B314" s="6"/>
      <c r="C314" s="6"/>
      <c r="D314" s="6"/>
      <c r="E314" s="6"/>
      <c r="F314" s="6"/>
      <c r="G314" s="6" t="s">
        <v>422</v>
      </c>
      <c r="H314" s="9">
        <v>8</v>
      </c>
      <c r="I314" s="6"/>
      <c r="J314" s="9" t="s">
        <v>18</v>
      </c>
      <c r="K314" s="28"/>
      <c r="L314" s="6"/>
      <c r="M314" s="6"/>
      <c r="N314" s="6"/>
      <c r="O314" s="6"/>
    </row>
    <row r="315" spans="2:15">
      <c r="B315" s="6">
        <v>45</v>
      </c>
      <c r="C315" s="6" t="s">
        <v>423</v>
      </c>
      <c r="D315" s="6" t="s">
        <v>103</v>
      </c>
      <c r="E315" s="6"/>
      <c r="F315" s="6"/>
      <c r="G315" s="6" t="s">
        <v>424</v>
      </c>
      <c r="H315" s="6">
        <v>12</v>
      </c>
      <c r="I315" s="6"/>
      <c r="J315" s="7" t="s">
        <v>21</v>
      </c>
      <c r="K315" s="28"/>
      <c r="L315" s="6"/>
      <c r="M315" s="6"/>
      <c r="N315" s="6" t="s">
        <v>153</v>
      </c>
      <c r="O315" s="6"/>
    </row>
    <row r="316" spans="2:15">
      <c r="B316" s="6"/>
      <c r="C316" s="6"/>
      <c r="D316" s="6"/>
      <c r="E316" s="6"/>
      <c r="F316" s="6"/>
      <c r="G316" s="6" t="s">
        <v>425</v>
      </c>
      <c r="H316" s="6">
        <v>13</v>
      </c>
      <c r="I316" s="6"/>
      <c r="J316" s="7" t="s">
        <v>21</v>
      </c>
      <c r="K316" s="28"/>
      <c r="L316" s="6"/>
      <c r="M316" s="6"/>
      <c r="N316" s="6"/>
      <c r="O316" s="6"/>
    </row>
    <row r="317" spans="2:15">
      <c r="B317" s="6"/>
      <c r="C317" s="6"/>
      <c r="D317" s="6"/>
      <c r="E317" s="6"/>
      <c r="F317" s="6"/>
      <c r="G317" s="6" t="s">
        <v>426</v>
      </c>
      <c r="H317" s="6">
        <v>3</v>
      </c>
      <c r="I317" s="6"/>
      <c r="J317" s="7" t="s">
        <v>21</v>
      </c>
      <c r="K317" s="28"/>
      <c r="L317" s="6"/>
      <c r="M317" s="6"/>
      <c r="N317" s="6"/>
      <c r="O317" s="6"/>
    </row>
    <row r="318" spans="2:15">
      <c r="B318" s="6"/>
      <c r="C318" s="6"/>
      <c r="D318" s="6"/>
      <c r="E318" s="6"/>
      <c r="F318" s="6"/>
      <c r="G318" s="6" t="s">
        <v>427</v>
      </c>
      <c r="H318" s="6">
        <v>18</v>
      </c>
      <c r="I318" s="6"/>
      <c r="J318" s="7" t="s">
        <v>21</v>
      </c>
      <c r="K318" s="28"/>
      <c r="L318" s="6"/>
      <c r="M318" s="6"/>
      <c r="N318" s="6"/>
      <c r="O318" s="6"/>
    </row>
    <row r="319" spans="2:15">
      <c r="B319" s="6"/>
      <c r="C319" s="6"/>
      <c r="D319" s="6"/>
      <c r="E319" s="6"/>
      <c r="F319" s="6"/>
      <c r="G319" s="6" t="s">
        <v>428</v>
      </c>
      <c r="H319" s="6">
        <v>10</v>
      </c>
      <c r="I319" s="6"/>
      <c r="J319" s="7" t="s">
        <v>21</v>
      </c>
      <c r="K319" s="28"/>
      <c r="L319" s="6"/>
      <c r="M319" s="6"/>
      <c r="N319" s="6"/>
      <c r="O319" s="6"/>
    </row>
    <row r="320" spans="2:15">
      <c r="B320" s="6"/>
      <c r="C320" s="6"/>
      <c r="D320" s="6"/>
      <c r="E320" s="6"/>
      <c r="F320" s="6"/>
      <c r="G320" s="6" t="s">
        <v>429</v>
      </c>
      <c r="H320" s="6">
        <v>4</v>
      </c>
      <c r="I320" s="6"/>
      <c r="J320" s="10" t="s">
        <v>24</v>
      </c>
      <c r="K320" s="28"/>
      <c r="L320" s="6"/>
      <c r="M320" s="6"/>
      <c r="N320" s="6"/>
      <c r="O320" s="6"/>
    </row>
    <row r="321" spans="2:15">
      <c r="B321" s="6">
        <v>46</v>
      </c>
      <c r="C321" s="6" t="s">
        <v>430</v>
      </c>
      <c r="D321" s="6" t="s">
        <v>103</v>
      </c>
      <c r="E321" s="6" t="s">
        <v>54</v>
      </c>
      <c r="F321" s="6"/>
      <c r="G321" s="6" t="s">
        <v>431</v>
      </c>
      <c r="H321" s="9">
        <v>12</v>
      </c>
      <c r="I321" s="6"/>
      <c r="J321" s="9" t="s">
        <v>18</v>
      </c>
      <c r="K321" s="6"/>
      <c r="L321" s="6"/>
      <c r="M321" s="6"/>
      <c r="N321" s="6" t="s">
        <v>432</v>
      </c>
      <c r="O321" s="6"/>
    </row>
    <row r="322" spans="2:15">
      <c r="B322" s="6"/>
      <c r="C322" s="6"/>
      <c r="D322" s="6"/>
      <c r="E322" s="6" t="s">
        <v>54</v>
      </c>
      <c r="F322" s="6">
        <v>2680</v>
      </c>
      <c r="G322" s="6" t="s">
        <v>433</v>
      </c>
      <c r="H322" s="6">
        <v>14</v>
      </c>
      <c r="I322" s="10" t="s">
        <v>24</v>
      </c>
      <c r="J322" s="10" t="s">
        <v>24</v>
      </c>
      <c r="K322" s="6"/>
      <c r="L322" s="6"/>
      <c r="M322" s="6"/>
      <c r="N322" s="6"/>
      <c r="O322" s="6"/>
    </row>
    <row r="323" spans="2:15">
      <c r="B323" s="6"/>
      <c r="C323" s="6"/>
      <c r="D323" s="6"/>
      <c r="E323" s="6" t="s">
        <v>54</v>
      </c>
      <c r="F323" s="6">
        <v>2780</v>
      </c>
      <c r="G323" s="6" t="s">
        <v>434</v>
      </c>
      <c r="H323" s="6">
        <v>12</v>
      </c>
      <c r="I323" s="6"/>
      <c r="J323" s="10" t="s">
        <v>24</v>
      </c>
      <c r="K323" s="6"/>
      <c r="L323" s="6"/>
      <c r="M323" s="6"/>
      <c r="N323" s="6"/>
      <c r="O323" s="6"/>
    </row>
    <row r="324" spans="2:15">
      <c r="B324" s="6"/>
      <c r="C324" s="6"/>
      <c r="D324" s="6"/>
      <c r="E324" s="6" t="s">
        <v>54</v>
      </c>
      <c r="F324" s="6">
        <v>3340</v>
      </c>
      <c r="G324" s="6" t="s">
        <v>435</v>
      </c>
      <c r="H324" s="6">
        <v>10</v>
      </c>
      <c r="I324" s="6"/>
      <c r="J324" s="10" t="s">
        <v>24</v>
      </c>
      <c r="K324" s="6"/>
      <c r="L324" s="6"/>
      <c r="M324" s="6"/>
      <c r="N324" s="6"/>
      <c r="O324" s="6"/>
    </row>
    <row r="325" spans="2:15">
      <c r="B325" s="6"/>
      <c r="C325" s="6"/>
      <c r="D325" s="6"/>
      <c r="E325" s="6" t="s">
        <v>61</v>
      </c>
      <c r="F325" s="6">
        <v>3360</v>
      </c>
      <c r="G325" s="6" t="s">
        <v>436</v>
      </c>
      <c r="H325" s="6">
        <v>10</v>
      </c>
      <c r="I325" s="6"/>
      <c r="J325" s="10" t="s">
        <v>24</v>
      </c>
      <c r="K325" s="6"/>
      <c r="L325" s="6"/>
      <c r="M325" s="6"/>
      <c r="N325" s="6"/>
      <c r="O325" s="6"/>
    </row>
    <row r="326" spans="2:15">
      <c r="B326" s="6"/>
      <c r="C326" s="6"/>
      <c r="D326" s="6"/>
      <c r="E326" s="6" t="s">
        <v>61</v>
      </c>
      <c r="F326" s="6">
        <v>3500</v>
      </c>
      <c r="G326" s="6" t="s">
        <v>437</v>
      </c>
      <c r="H326" s="6">
        <v>14</v>
      </c>
      <c r="I326" s="6"/>
      <c r="J326" s="10" t="s">
        <v>24</v>
      </c>
      <c r="K326" s="6"/>
      <c r="L326" s="6"/>
      <c r="M326" s="6"/>
      <c r="N326" s="6"/>
      <c r="O326" s="6"/>
    </row>
    <row r="327" spans="2:15">
      <c r="B327" s="6"/>
      <c r="C327" s="6"/>
      <c r="D327" s="6"/>
      <c r="E327" s="6" t="s">
        <v>61</v>
      </c>
      <c r="F327" s="6">
        <v>3530</v>
      </c>
      <c r="G327" s="6" t="s">
        <v>438</v>
      </c>
      <c r="H327" s="6">
        <v>12</v>
      </c>
      <c r="I327" s="6"/>
      <c r="J327" s="10" t="s">
        <v>24</v>
      </c>
      <c r="K327" s="6"/>
      <c r="L327" s="6"/>
      <c r="M327" s="6"/>
      <c r="N327" s="6"/>
      <c r="O327" s="6"/>
    </row>
    <row r="328" spans="2:15">
      <c r="B328" s="6"/>
      <c r="C328" s="6"/>
      <c r="D328" s="6"/>
      <c r="E328" s="6" t="s">
        <v>16</v>
      </c>
      <c r="F328" s="6"/>
      <c r="G328" s="6" t="s">
        <v>439</v>
      </c>
      <c r="H328" s="6">
        <v>10</v>
      </c>
      <c r="I328" s="6"/>
      <c r="J328" s="7" t="s">
        <v>21</v>
      </c>
      <c r="K328" s="6"/>
      <c r="L328" s="6"/>
      <c r="M328" s="6"/>
      <c r="N328" s="6"/>
      <c r="O328" s="6"/>
    </row>
    <row r="329" spans="2:15">
      <c r="B329" s="6">
        <v>47</v>
      </c>
      <c r="C329" s="6" t="s">
        <v>440</v>
      </c>
      <c r="D329" s="6" t="s">
        <v>103</v>
      </c>
      <c r="E329" s="6"/>
      <c r="F329" s="6"/>
      <c r="G329" s="6" t="s">
        <v>441</v>
      </c>
      <c r="H329" s="6">
        <v>2</v>
      </c>
      <c r="I329" s="6"/>
      <c r="J329" s="10" t="s">
        <v>24</v>
      </c>
      <c r="K329" s="6"/>
      <c r="L329" s="6"/>
      <c r="M329" s="6"/>
      <c r="N329" s="6"/>
      <c r="O329" s="6"/>
    </row>
    <row r="330" spans="2:15">
      <c r="B330" s="6"/>
      <c r="C330" s="6"/>
      <c r="D330" s="6"/>
      <c r="E330" s="6"/>
      <c r="F330" s="6"/>
      <c r="G330" s="6" t="s">
        <v>442</v>
      </c>
      <c r="H330" s="6">
        <v>23</v>
      </c>
      <c r="I330" s="6"/>
      <c r="J330" s="7" t="s">
        <v>21</v>
      </c>
      <c r="K330" s="6"/>
      <c r="L330" s="6"/>
      <c r="M330" s="6"/>
      <c r="N330" s="6"/>
      <c r="O330" s="6"/>
    </row>
    <row r="331" spans="2:15">
      <c r="B331" s="6"/>
      <c r="C331" s="6"/>
      <c r="D331" s="6"/>
      <c r="E331" s="6"/>
      <c r="F331" s="6"/>
      <c r="G331" s="6" t="s">
        <v>443</v>
      </c>
      <c r="H331" s="9">
        <v>6</v>
      </c>
      <c r="I331" s="6"/>
      <c r="J331" s="9" t="s">
        <v>18</v>
      </c>
      <c r="K331" s="6"/>
      <c r="L331" s="6"/>
      <c r="M331" s="6"/>
      <c r="N331" s="6"/>
      <c r="O331" s="6"/>
    </row>
    <row r="332" spans="2:15">
      <c r="B332" s="6"/>
      <c r="C332" s="6"/>
      <c r="D332" s="6"/>
      <c r="E332" s="6"/>
      <c r="F332" s="6"/>
      <c r="G332" s="6" t="s">
        <v>444</v>
      </c>
      <c r="H332" s="6">
        <v>10</v>
      </c>
      <c r="I332" s="6"/>
      <c r="J332" s="7" t="s">
        <v>21</v>
      </c>
      <c r="K332" s="6"/>
      <c r="L332" s="6"/>
      <c r="M332" s="6"/>
      <c r="N332" s="6"/>
      <c r="O332" s="6"/>
    </row>
    <row r="333" spans="2:15">
      <c r="B333" s="6"/>
      <c r="C333" s="6"/>
      <c r="D333" s="6"/>
      <c r="E333" s="6"/>
      <c r="F333" s="6"/>
      <c r="G333" s="6" t="s">
        <v>445</v>
      </c>
      <c r="H333" s="6">
        <v>3</v>
      </c>
      <c r="I333" s="6"/>
      <c r="J333" s="7" t="s">
        <v>21</v>
      </c>
      <c r="K333" s="6"/>
      <c r="L333" s="6"/>
      <c r="M333" s="6"/>
      <c r="N333" s="6"/>
      <c r="O333" s="6"/>
    </row>
    <row r="334" spans="2:15">
      <c r="B334" s="6"/>
      <c r="C334" s="6"/>
      <c r="D334" s="6"/>
      <c r="E334" s="6"/>
      <c r="F334" s="6"/>
      <c r="G334" s="6" t="s">
        <v>446</v>
      </c>
      <c r="H334" s="6">
        <v>12</v>
      </c>
      <c r="I334" s="6"/>
      <c r="J334" s="7" t="s">
        <v>21</v>
      </c>
      <c r="K334" s="6"/>
      <c r="L334" s="6"/>
      <c r="M334" s="6"/>
      <c r="N334" s="6"/>
      <c r="O334" s="6"/>
    </row>
    <row r="335" spans="2:15">
      <c r="B335" s="6"/>
      <c r="C335" s="6"/>
      <c r="D335" s="6"/>
      <c r="E335" s="6"/>
      <c r="F335" s="6"/>
      <c r="G335" s="6" t="s">
        <v>447</v>
      </c>
      <c r="H335" s="9">
        <v>6</v>
      </c>
      <c r="I335" s="6"/>
      <c r="J335" s="9" t="s">
        <v>18</v>
      </c>
      <c r="K335" s="6"/>
      <c r="L335" s="6"/>
      <c r="M335" s="6"/>
      <c r="N335" s="6"/>
      <c r="O335" s="6"/>
    </row>
    <row r="336" spans="2:15">
      <c r="B336" s="6"/>
      <c r="C336" s="6"/>
      <c r="D336" s="6"/>
      <c r="E336" s="6"/>
      <c r="F336" s="6"/>
      <c r="G336" s="6" t="s">
        <v>448</v>
      </c>
      <c r="H336" s="9">
        <v>6</v>
      </c>
      <c r="I336" s="6"/>
      <c r="J336" s="9" t="s">
        <v>18</v>
      </c>
      <c r="K336" s="6"/>
      <c r="L336" s="6"/>
      <c r="M336" s="6"/>
      <c r="N336" s="6"/>
      <c r="O336" s="6"/>
    </row>
    <row r="337" spans="2:15">
      <c r="B337" s="6"/>
      <c r="C337" s="6"/>
      <c r="D337" s="6"/>
      <c r="E337" s="6"/>
      <c r="F337" s="6"/>
      <c r="G337" s="6" t="s">
        <v>449</v>
      </c>
      <c r="H337" s="9">
        <v>25</v>
      </c>
      <c r="I337" s="6"/>
      <c r="J337" s="9" t="s">
        <v>18</v>
      </c>
      <c r="K337" s="6"/>
      <c r="L337" s="6"/>
      <c r="M337" s="6"/>
      <c r="N337" s="6"/>
      <c r="O337" s="6"/>
    </row>
    <row r="338" spans="2:15">
      <c r="B338" s="6">
        <v>48</v>
      </c>
      <c r="C338" s="6" t="s">
        <v>450</v>
      </c>
      <c r="D338" s="6" t="s">
        <v>103</v>
      </c>
      <c r="E338" s="6" t="s">
        <v>54</v>
      </c>
      <c r="F338" s="6" t="s">
        <v>451</v>
      </c>
      <c r="G338" s="6" t="s">
        <v>452</v>
      </c>
      <c r="H338" s="6">
        <v>3</v>
      </c>
      <c r="I338" s="6"/>
      <c r="J338" s="7" t="s">
        <v>21</v>
      </c>
      <c r="K338" s="6"/>
      <c r="L338" s="6"/>
      <c r="M338" s="6"/>
      <c r="N338" s="6" t="s">
        <v>153</v>
      </c>
      <c r="O338" s="6"/>
    </row>
    <row r="339" spans="2:15">
      <c r="B339" s="6"/>
      <c r="C339" s="6"/>
      <c r="D339" s="6"/>
      <c r="E339" s="6" t="s">
        <v>54</v>
      </c>
      <c r="F339" s="6" t="s">
        <v>451</v>
      </c>
      <c r="G339" s="6" t="s">
        <v>453</v>
      </c>
      <c r="H339" s="6">
        <v>8</v>
      </c>
      <c r="I339" s="6"/>
      <c r="J339" s="7" t="s">
        <v>21</v>
      </c>
      <c r="K339" s="6"/>
      <c r="L339" s="6"/>
      <c r="M339" s="6"/>
      <c r="N339" s="6"/>
      <c r="O339" s="6"/>
    </row>
    <row r="340" spans="2:15">
      <c r="B340" s="6"/>
      <c r="C340" s="6"/>
      <c r="D340" s="6"/>
      <c r="E340" s="6" t="s">
        <v>54</v>
      </c>
      <c r="F340" s="6" t="s">
        <v>451</v>
      </c>
      <c r="G340" s="6" t="s">
        <v>454</v>
      </c>
      <c r="H340" s="6">
        <v>6</v>
      </c>
      <c r="I340" s="6"/>
      <c r="J340" s="7" t="s">
        <v>21</v>
      </c>
      <c r="K340" s="6"/>
      <c r="L340" s="6"/>
      <c r="M340" s="6"/>
      <c r="N340" s="6"/>
      <c r="O340" s="6"/>
    </row>
    <row r="341" spans="2:15">
      <c r="B341" s="6"/>
      <c r="C341" s="6"/>
      <c r="D341" s="6"/>
      <c r="E341" s="6" t="s">
        <v>54</v>
      </c>
      <c r="F341" s="6" t="s">
        <v>451</v>
      </c>
      <c r="G341" s="6" t="s">
        <v>455</v>
      </c>
      <c r="H341" s="6">
        <v>9</v>
      </c>
      <c r="I341" s="6"/>
      <c r="J341" s="7" t="s">
        <v>21</v>
      </c>
      <c r="K341" s="6"/>
      <c r="L341" s="6"/>
      <c r="M341" s="6"/>
      <c r="N341" s="6"/>
      <c r="O341" s="6"/>
    </row>
    <row r="342" spans="2:15">
      <c r="B342" s="6"/>
      <c r="C342" s="6"/>
      <c r="D342" s="6"/>
      <c r="E342" s="6" t="s">
        <v>54</v>
      </c>
      <c r="F342" s="6" t="s">
        <v>456</v>
      </c>
      <c r="G342" s="6" t="s">
        <v>457</v>
      </c>
      <c r="H342" s="6">
        <v>7</v>
      </c>
      <c r="I342" s="6"/>
      <c r="J342" s="7" t="s">
        <v>21</v>
      </c>
      <c r="K342" s="6"/>
      <c r="L342" s="6"/>
      <c r="M342" s="6"/>
      <c r="N342" s="6"/>
      <c r="O342" s="6"/>
    </row>
    <row r="343" spans="2:15">
      <c r="B343" s="6"/>
      <c r="C343" s="6"/>
      <c r="D343" s="6"/>
      <c r="E343" s="6" t="s">
        <v>54</v>
      </c>
      <c r="F343" s="6" t="s">
        <v>456</v>
      </c>
      <c r="G343" s="6" t="s">
        <v>458</v>
      </c>
      <c r="H343" s="6">
        <v>5</v>
      </c>
      <c r="I343" s="6"/>
      <c r="J343" s="7" t="s">
        <v>21</v>
      </c>
      <c r="K343" s="6"/>
      <c r="L343" s="6"/>
      <c r="M343" s="6"/>
      <c r="N343" s="6"/>
      <c r="O343" s="6"/>
    </row>
    <row r="344" spans="2:15">
      <c r="B344" s="6"/>
      <c r="C344" s="6"/>
      <c r="D344" s="6"/>
      <c r="E344" s="6" t="s">
        <v>54</v>
      </c>
      <c r="F344" s="6" t="s">
        <v>456</v>
      </c>
      <c r="G344" s="6" t="s">
        <v>459</v>
      </c>
      <c r="H344" s="6">
        <v>4</v>
      </c>
      <c r="I344" s="6"/>
      <c r="J344" s="7" t="s">
        <v>21</v>
      </c>
      <c r="K344" s="6"/>
      <c r="L344" s="6"/>
      <c r="M344" s="6"/>
      <c r="N344" s="6"/>
      <c r="O344" s="6"/>
    </row>
    <row r="345" spans="2:15">
      <c r="B345" s="6">
        <v>49</v>
      </c>
      <c r="C345" s="6" t="s">
        <v>460</v>
      </c>
      <c r="D345" s="6" t="s">
        <v>103</v>
      </c>
      <c r="E345" s="6" t="s">
        <v>54</v>
      </c>
      <c r="F345" s="6" t="s">
        <v>451</v>
      </c>
      <c r="G345" s="6" t="s">
        <v>461</v>
      </c>
      <c r="H345" s="6">
        <v>6</v>
      </c>
      <c r="I345" s="6"/>
      <c r="J345" s="7" t="s">
        <v>21</v>
      </c>
      <c r="K345" s="28"/>
      <c r="L345" s="6"/>
      <c r="M345" s="6"/>
      <c r="N345" s="6" t="s">
        <v>153</v>
      </c>
      <c r="O345" s="6"/>
    </row>
    <row r="346" spans="2:15">
      <c r="B346" s="6"/>
      <c r="C346" s="6"/>
      <c r="D346" s="6"/>
      <c r="E346" s="6" t="s">
        <v>54</v>
      </c>
      <c r="F346" s="6" t="s">
        <v>456</v>
      </c>
      <c r="G346" s="6" t="s">
        <v>462</v>
      </c>
      <c r="H346" s="6">
        <v>10</v>
      </c>
      <c r="I346" s="6"/>
      <c r="J346" s="7" t="s">
        <v>21</v>
      </c>
      <c r="K346" s="28"/>
      <c r="L346" s="6"/>
      <c r="M346" s="6"/>
      <c r="N346" s="6"/>
      <c r="O346" s="6"/>
    </row>
    <row r="347" spans="2:15">
      <c r="B347" s="6"/>
      <c r="C347" s="6"/>
      <c r="D347" s="6"/>
      <c r="E347" s="6" t="s">
        <v>54</v>
      </c>
      <c r="F347" s="6" t="s">
        <v>456</v>
      </c>
      <c r="G347" s="6" t="s">
        <v>463</v>
      </c>
      <c r="H347" s="6">
        <v>14</v>
      </c>
      <c r="I347" s="6"/>
      <c r="J347" s="7" t="s">
        <v>21</v>
      </c>
      <c r="K347" s="28"/>
      <c r="L347" s="6"/>
      <c r="M347" s="6"/>
      <c r="N347" s="6"/>
      <c r="O347" s="6"/>
    </row>
    <row r="348" spans="2:15">
      <c r="B348" s="6">
        <v>50</v>
      </c>
      <c r="C348" s="6" t="s">
        <v>464</v>
      </c>
      <c r="D348" s="6" t="s">
        <v>15</v>
      </c>
      <c r="E348" s="6" t="s">
        <v>54</v>
      </c>
      <c r="F348" s="6">
        <v>5350</v>
      </c>
      <c r="G348" s="6" t="s">
        <v>465</v>
      </c>
      <c r="H348" s="6">
        <v>10</v>
      </c>
      <c r="I348" s="6"/>
      <c r="J348" s="7" t="s">
        <v>21</v>
      </c>
      <c r="K348" s="6"/>
      <c r="L348" s="6"/>
      <c r="M348" s="6"/>
      <c r="N348" s="6"/>
      <c r="O348" s="6"/>
    </row>
    <row r="349" spans="2:15">
      <c r="B349" s="6"/>
      <c r="C349" s="6"/>
      <c r="D349" s="6"/>
      <c r="E349" s="6" t="s">
        <v>61</v>
      </c>
      <c r="F349" s="6">
        <v>5430</v>
      </c>
      <c r="G349" s="6" t="s">
        <v>466</v>
      </c>
      <c r="H349" s="6">
        <v>4</v>
      </c>
      <c r="I349" s="6"/>
      <c r="J349" s="7" t="s">
        <v>21</v>
      </c>
      <c r="K349" s="6"/>
      <c r="L349" s="6"/>
      <c r="M349" s="6"/>
      <c r="N349" s="6"/>
      <c r="O349" s="6"/>
    </row>
    <row r="350" spans="2:15">
      <c r="B350" s="6"/>
      <c r="C350" s="6"/>
      <c r="D350" s="6"/>
      <c r="E350" s="6" t="s">
        <v>61</v>
      </c>
      <c r="F350" s="6">
        <v>5430</v>
      </c>
      <c r="G350" s="6" t="s">
        <v>467</v>
      </c>
      <c r="H350" s="6">
        <v>8</v>
      </c>
      <c r="I350" s="6"/>
      <c r="J350" s="7" t="s">
        <v>21</v>
      </c>
      <c r="K350" s="6"/>
      <c r="L350" s="6"/>
      <c r="M350" s="6"/>
      <c r="N350" s="6"/>
      <c r="O350" s="6"/>
    </row>
    <row r="351" spans="2:15">
      <c r="B351" s="6"/>
      <c r="C351" s="6"/>
      <c r="D351" s="6"/>
      <c r="E351" s="6" t="s">
        <v>61</v>
      </c>
      <c r="F351" s="6">
        <v>5600</v>
      </c>
      <c r="G351" s="6" t="s">
        <v>468</v>
      </c>
      <c r="H351" s="6">
        <v>4</v>
      </c>
      <c r="I351" s="6"/>
      <c r="J351" s="10" t="s">
        <v>24</v>
      </c>
      <c r="K351" s="6"/>
      <c r="L351" s="6"/>
      <c r="M351" s="6"/>
      <c r="N351" s="6"/>
      <c r="O351" s="6"/>
    </row>
    <row r="352" spans="2:15">
      <c r="B352" s="6"/>
      <c r="C352" s="6"/>
      <c r="D352" s="6"/>
      <c r="E352" s="6" t="s">
        <v>61</v>
      </c>
      <c r="F352" s="6">
        <v>5600</v>
      </c>
      <c r="G352" s="6" t="s">
        <v>469</v>
      </c>
      <c r="H352" s="6">
        <v>8</v>
      </c>
      <c r="I352" s="6"/>
      <c r="J352" s="7" t="s">
        <v>21</v>
      </c>
      <c r="K352" s="6"/>
      <c r="L352" s="6"/>
      <c r="M352" s="6"/>
      <c r="N352" s="6"/>
      <c r="O352" s="6"/>
    </row>
    <row r="353" spans="2:15">
      <c r="B353" s="6"/>
      <c r="C353" s="6"/>
      <c r="D353" s="6"/>
      <c r="E353" s="6" t="s">
        <v>16</v>
      </c>
      <c r="F353" s="6">
        <v>5680</v>
      </c>
      <c r="G353" s="6" t="s">
        <v>470</v>
      </c>
      <c r="H353" s="6">
        <v>27</v>
      </c>
      <c r="I353" s="6"/>
      <c r="J353" s="7" t="s">
        <v>21</v>
      </c>
      <c r="K353" s="6"/>
      <c r="L353" s="6"/>
      <c r="M353" s="6"/>
      <c r="N353" s="6"/>
      <c r="O353" s="6"/>
    </row>
    <row r="354" spans="2:15">
      <c r="B354" s="6"/>
      <c r="C354" s="6"/>
      <c r="D354" s="6"/>
      <c r="E354" s="6" t="s">
        <v>16</v>
      </c>
      <c r="F354" s="6">
        <v>5680</v>
      </c>
      <c r="G354" s="6" t="s">
        <v>471</v>
      </c>
      <c r="H354" s="6">
        <v>10</v>
      </c>
      <c r="I354" s="6"/>
      <c r="J354" s="7" t="s">
        <v>21</v>
      </c>
      <c r="K354" s="6"/>
      <c r="L354" s="6"/>
      <c r="M354" s="6"/>
      <c r="N354" s="6"/>
      <c r="O354" s="6"/>
    </row>
    <row r="355" spans="2:15">
      <c r="B355" s="6"/>
      <c r="C355" s="6"/>
      <c r="D355" s="6"/>
      <c r="E355" s="6" t="s">
        <v>16</v>
      </c>
      <c r="F355" s="6"/>
      <c r="G355" s="6" t="s">
        <v>472</v>
      </c>
      <c r="H355" s="9">
        <v>10</v>
      </c>
      <c r="I355" s="6"/>
      <c r="J355" s="9" t="s">
        <v>18</v>
      </c>
      <c r="K355" s="6"/>
      <c r="L355" s="6"/>
      <c r="M355" s="6"/>
      <c r="N355" s="6"/>
      <c r="O355" s="6"/>
    </row>
    <row r="356" spans="2:15">
      <c r="B356" s="6">
        <v>51</v>
      </c>
      <c r="C356" s="6" t="s">
        <v>473</v>
      </c>
      <c r="D356" s="6" t="s">
        <v>103</v>
      </c>
      <c r="E356" s="6" t="s">
        <v>16</v>
      </c>
      <c r="F356" s="6"/>
      <c r="G356" s="6" t="s">
        <v>474</v>
      </c>
      <c r="H356" s="9">
        <v>8</v>
      </c>
      <c r="I356" s="6"/>
      <c r="J356" s="9" t="s">
        <v>18</v>
      </c>
      <c r="K356" s="6"/>
      <c r="L356" s="6"/>
      <c r="M356" s="6"/>
      <c r="N356" s="6"/>
      <c r="O356" s="6"/>
    </row>
    <row r="357" spans="2:15">
      <c r="B357" s="6"/>
      <c r="C357" s="6"/>
      <c r="D357" s="6"/>
      <c r="E357" s="6" t="s">
        <v>16</v>
      </c>
      <c r="F357" s="6"/>
      <c r="G357" s="6" t="s">
        <v>475</v>
      </c>
      <c r="H357" s="9">
        <v>12</v>
      </c>
      <c r="I357" s="6"/>
      <c r="J357" s="9" t="s">
        <v>18</v>
      </c>
      <c r="K357" s="6"/>
      <c r="L357" s="6"/>
      <c r="M357" s="6"/>
      <c r="N357" s="6"/>
      <c r="O357" s="6"/>
    </row>
    <row r="358" spans="2:15">
      <c r="B358" s="6"/>
      <c r="C358" s="6"/>
      <c r="D358" s="6"/>
      <c r="E358" s="6" t="s">
        <v>16</v>
      </c>
      <c r="F358" s="6"/>
      <c r="G358" s="6" t="s">
        <v>476</v>
      </c>
      <c r="H358" s="6">
        <v>33</v>
      </c>
      <c r="I358" s="6"/>
      <c r="J358" s="10" t="s">
        <v>24</v>
      </c>
      <c r="K358" s="6"/>
      <c r="L358" s="6"/>
      <c r="M358" s="6"/>
      <c r="N358" s="6"/>
      <c r="O358" s="6"/>
    </row>
    <row r="359" spans="2:15">
      <c r="B359" s="6"/>
      <c r="C359" s="6"/>
      <c r="D359" s="6"/>
      <c r="E359" s="6" t="s">
        <v>16</v>
      </c>
      <c r="F359" s="6"/>
      <c r="G359" s="6" t="s">
        <v>477</v>
      </c>
      <c r="H359" s="9">
        <v>6</v>
      </c>
      <c r="I359" s="6"/>
      <c r="J359" s="9" t="s">
        <v>18</v>
      </c>
      <c r="K359" s="6"/>
      <c r="L359" s="6"/>
      <c r="M359" s="6"/>
      <c r="N359" s="6"/>
      <c r="O359" s="6"/>
    </row>
    <row r="360" spans="2:15">
      <c r="B360" s="6"/>
      <c r="C360" s="6"/>
      <c r="D360" s="6"/>
      <c r="E360" s="6" t="s">
        <v>16</v>
      </c>
      <c r="F360" s="6"/>
      <c r="G360" s="6" t="s">
        <v>478</v>
      </c>
      <c r="H360" s="9">
        <v>6</v>
      </c>
      <c r="I360" s="6"/>
      <c r="J360" s="9" t="s">
        <v>18</v>
      </c>
      <c r="K360" s="6"/>
      <c r="L360" s="6"/>
      <c r="M360" s="6"/>
      <c r="N360" s="6"/>
      <c r="O360" s="6"/>
    </row>
    <row r="361" spans="2:15">
      <c r="B361" s="6"/>
      <c r="C361" s="6"/>
      <c r="D361" s="6"/>
      <c r="E361" s="6" t="s">
        <v>479</v>
      </c>
      <c r="F361" s="6"/>
      <c r="G361" s="6" t="s">
        <v>480</v>
      </c>
      <c r="H361" s="6">
        <v>7</v>
      </c>
      <c r="I361" s="6"/>
      <c r="J361" s="10" t="s">
        <v>24</v>
      </c>
      <c r="K361" s="6"/>
      <c r="L361" s="6"/>
      <c r="M361" s="6"/>
      <c r="N361" s="6"/>
      <c r="O361" s="6"/>
    </row>
    <row r="362" spans="2:15">
      <c r="B362" s="6"/>
      <c r="C362" s="6"/>
      <c r="D362" s="6"/>
      <c r="E362" s="6" t="s">
        <v>479</v>
      </c>
      <c r="F362" s="6"/>
      <c r="G362" s="6" t="s">
        <v>481</v>
      </c>
      <c r="H362" s="6">
        <v>6</v>
      </c>
      <c r="I362" s="6"/>
      <c r="J362" s="10" t="s">
        <v>24</v>
      </c>
      <c r="K362" s="6"/>
      <c r="L362" s="6"/>
      <c r="M362" s="6"/>
      <c r="N362" s="6"/>
      <c r="O362" s="6"/>
    </row>
    <row r="363" spans="2:15">
      <c r="B363" s="6"/>
      <c r="C363" s="6"/>
      <c r="D363" s="6"/>
      <c r="E363" s="6" t="s">
        <v>479</v>
      </c>
      <c r="F363" s="6"/>
      <c r="G363" s="6" t="s">
        <v>482</v>
      </c>
      <c r="H363" s="6">
        <v>4</v>
      </c>
      <c r="I363" s="6"/>
      <c r="J363" s="10" t="s">
        <v>24</v>
      </c>
      <c r="K363" s="6"/>
      <c r="L363" s="6"/>
      <c r="M363" s="6"/>
      <c r="N363" s="6"/>
      <c r="O363" s="6"/>
    </row>
    <row r="364" spans="2:15">
      <c r="B364" s="6"/>
      <c r="C364" s="6"/>
      <c r="D364" s="6"/>
      <c r="E364" s="6" t="s">
        <v>479</v>
      </c>
      <c r="F364" s="6"/>
      <c r="G364" s="6" t="s">
        <v>483</v>
      </c>
      <c r="H364" s="6">
        <v>10</v>
      </c>
      <c r="I364" s="6"/>
      <c r="J364" s="10" t="s">
        <v>24</v>
      </c>
      <c r="K364" s="6"/>
      <c r="L364" s="6"/>
      <c r="M364" s="6"/>
      <c r="N364" s="6"/>
      <c r="O364" s="6"/>
    </row>
    <row r="365" spans="2:15">
      <c r="B365" s="6"/>
      <c r="C365" s="6"/>
      <c r="D365" s="6"/>
      <c r="E365" s="6" t="s">
        <v>479</v>
      </c>
      <c r="F365" s="6"/>
      <c r="G365" s="6" t="s">
        <v>484</v>
      </c>
      <c r="H365" s="6">
        <v>5</v>
      </c>
      <c r="I365" s="6"/>
      <c r="J365" s="10" t="s">
        <v>24</v>
      </c>
      <c r="K365" s="6"/>
      <c r="L365" s="6"/>
      <c r="M365" s="6"/>
      <c r="N365" s="6"/>
      <c r="O365" s="6"/>
    </row>
    <row r="366" spans="2:15">
      <c r="B366" s="6"/>
      <c r="C366" s="6"/>
      <c r="D366" s="6"/>
      <c r="E366" s="6" t="s">
        <v>479</v>
      </c>
      <c r="F366" s="6"/>
      <c r="G366" s="6" t="s">
        <v>485</v>
      </c>
      <c r="H366" s="6">
        <v>4</v>
      </c>
      <c r="I366" s="6"/>
      <c r="J366" s="10" t="s">
        <v>24</v>
      </c>
      <c r="K366" s="6"/>
      <c r="L366" s="6"/>
      <c r="M366" s="6"/>
      <c r="N366" s="6"/>
      <c r="O366" s="6"/>
    </row>
    <row r="367" spans="2:15">
      <c r="B367" s="6"/>
      <c r="C367" s="6"/>
      <c r="D367" s="6"/>
      <c r="E367" s="6" t="s">
        <v>479</v>
      </c>
      <c r="F367" s="6"/>
      <c r="G367" s="6" t="s">
        <v>486</v>
      </c>
      <c r="H367" s="6">
        <v>10</v>
      </c>
      <c r="I367" s="6"/>
      <c r="J367" s="7" t="s">
        <v>21</v>
      </c>
      <c r="K367" s="6"/>
      <c r="L367" s="6"/>
      <c r="M367" s="6"/>
      <c r="N367" s="6"/>
      <c r="O367" s="6"/>
    </row>
    <row r="368" spans="2:15">
      <c r="B368" s="6"/>
      <c r="C368" s="6"/>
      <c r="D368" s="6"/>
      <c r="E368" s="6" t="s">
        <v>479</v>
      </c>
      <c r="F368" s="6"/>
      <c r="G368" s="6" t="s">
        <v>487</v>
      </c>
      <c r="H368" s="6">
        <v>10</v>
      </c>
      <c r="I368" s="6"/>
      <c r="J368" s="7" t="s">
        <v>21</v>
      </c>
      <c r="K368" s="6"/>
      <c r="L368" s="6"/>
      <c r="M368" s="6"/>
      <c r="N368" s="6"/>
      <c r="O368" s="6"/>
    </row>
    <row r="369" spans="2:15">
      <c r="B369" s="6">
        <v>52</v>
      </c>
      <c r="C369" s="6" t="s">
        <v>488</v>
      </c>
      <c r="D369" s="6" t="s">
        <v>103</v>
      </c>
      <c r="E369" s="6"/>
      <c r="F369" s="6"/>
      <c r="G369" s="6" t="s">
        <v>489</v>
      </c>
      <c r="H369" s="9">
        <v>10</v>
      </c>
      <c r="I369" s="6"/>
      <c r="J369" s="9" t="s">
        <v>18</v>
      </c>
      <c r="K369" s="6"/>
      <c r="L369" s="6"/>
      <c r="M369" s="6"/>
      <c r="N369" s="6"/>
      <c r="O369" s="6"/>
    </row>
    <row r="370" spans="2:15">
      <c r="B370" s="6"/>
      <c r="C370" s="6"/>
      <c r="D370" s="6"/>
      <c r="E370" s="6"/>
      <c r="F370" s="6"/>
      <c r="G370" s="6" t="s">
        <v>490</v>
      </c>
      <c r="H370" s="9">
        <v>10</v>
      </c>
      <c r="I370" s="6"/>
      <c r="J370" s="9" t="s">
        <v>18</v>
      </c>
      <c r="K370" s="6"/>
      <c r="L370" s="6"/>
      <c r="M370" s="6"/>
      <c r="N370" s="6"/>
      <c r="O370" s="6"/>
    </row>
    <row r="371" spans="2:15">
      <c r="B371" s="6"/>
      <c r="C371" s="6"/>
      <c r="D371" s="6"/>
      <c r="E371" s="6"/>
      <c r="F371" s="6"/>
      <c r="G371" s="6" t="s">
        <v>491</v>
      </c>
      <c r="H371" s="9">
        <v>20</v>
      </c>
      <c r="I371" s="6"/>
      <c r="J371" s="9" t="s">
        <v>18</v>
      </c>
      <c r="K371" s="6"/>
      <c r="L371" s="6"/>
      <c r="M371" s="6"/>
      <c r="N371" s="6"/>
      <c r="O371" s="6"/>
    </row>
    <row r="372" spans="2:15">
      <c r="B372" s="6"/>
      <c r="C372" s="6"/>
      <c r="D372" s="6"/>
      <c r="E372" s="6"/>
      <c r="F372" s="6"/>
      <c r="G372" s="6" t="s">
        <v>214</v>
      </c>
      <c r="H372" s="9">
        <v>20</v>
      </c>
      <c r="I372" s="6"/>
      <c r="J372" s="9" t="s">
        <v>18</v>
      </c>
      <c r="K372" s="6"/>
      <c r="L372" s="6"/>
      <c r="M372" s="6"/>
      <c r="N372" s="6"/>
      <c r="O372" s="6"/>
    </row>
    <row r="373" spans="2:15">
      <c r="B373" s="6"/>
      <c r="C373" s="6"/>
      <c r="D373" s="6"/>
      <c r="E373" s="6"/>
      <c r="F373" s="6"/>
      <c r="G373" s="6" t="s">
        <v>492</v>
      </c>
      <c r="H373" s="9">
        <v>10</v>
      </c>
      <c r="I373" s="6"/>
      <c r="J373" s="9" t="s">
        <v>18</v>
      </c>
      <c r="K373" s="6"/>
      <c r="L373" s="6"/>
      <c r="M373" s="6"/>
      <c r="N373" s="6"/>
      <c r="O373" s="6"/>
    </row>
    <row r="374" spans="2:15">
      <c r="B374" s="6"/>
      <c r="C374" s="6"/>
      <c r="D374" s="6"/>
      <c r="E374" s="6"/>
      <c r="F374" s="6"/>
      <c r="G374" s="6" t="s">
        <v>493</v>
      </c>
      <c r="H374" s="9">
        <v>10</v>
      </c>
      <c r="I374" s="6"/>
      <c r="J374" s="9" t="s">
        <v>18</v>
      </c>
      <c r="K374" s="6"/>
      <c r="L374" s="6"/>
      <c r="M374" s="6"/>
      <c r="N374" s="6"/>
      <c r="O374" s="6"/>
    </row>
    <row r="375" spans="2:15">
      <c r="B375" s="6"/>
      <c r="C375" s="6"/>
      <c r="D375" s="6"/>
      <c r="E375" s="6"/>
      <c r="F375" s="6"/>
      <c r="G375" s="6" t="s">
        <v>494</v>
      </c>
      <c r="H375" s="9">
        <v>10</v>
      </c>
      <c r="I375" s="6"/>
      <c r="J375" s="9" t="s">
        <v>18</v>
      </c>
      <c r="K375" s="6"/>
      <c r="L375" s="6"/>
      <c r="M375" s="6"/>
      <c r="N375" s="6"/>
      <c r="O375" s="6"/>
    </row>
    <row r="376" spans="2:15">
      <c r="B376" s="6"/>
      <c r="C376" s="6"/>
      <c r="D376" s="6"/>
      <c r="E376" s="6"/>
      <c r="F376" s="6"/>
      <c r="G376" s="6" t="s">
        <v>495</v>
      </c>
      <c r="H376" s="6">
        <v>15</v>
      </c>
      <c r="I376" s="7" t="s">
        <v>21</v>
      </c>
      <c r="J376" s="7" t="s">
        <v>21</v>
      </c>
      <c r="K376" s="6"/>
      <c r="L376" s="6"/>
      <c r="M376" s="6"/>
      <c r="N376" s="6"/>
      <c r="O376" s="6"/>
    </row>
    <row r="377" spans="2:15">
      <c r="B377" s="6"/>
      <c r="C377" s="6"/>
      <c r="D377" s="6"/>
      <c r="E377" s="6"/>
      <c r="F377" s="6"/>
      <c r="G377" s="6" t="s">
        <v>496</v>
      </c>
      <c r="H377" s="6">
        <v>12</v>
      </c>
      <c r="I377" s="6"/>
      <c r="J377" s="7" t="s">
        <v>21</v>
      </c>
      <c r="K377" s="6"/>
      <c r="L377" s="6"/>
      <c r="M377" s="6"/>
      <c r="N377" s="6"/>
      <c r="O377" s="6"/>
    </row>
    <row r="378" spans="2:15">
      <c r="B378" s="6">
        <v>53</v>
      </c>
      <c r="C378" s="6" t="s">
        <v>497</v>
      </c>
      <c r="D378" s="6" t="s">
        <v>103</v>
      </c>
      <c r="E378" s="6"/>
      <c r="F378" s="6"/>
      <c r="G378" s="6" t="s">
        <v>498</v>
      </c>
      <c r="H378" s="9">
        <v>15</v>
      </c>
      <c r="I378" s="6"/>
      <c r="J378" s="9" t="s">
        <v>18</v>
      </c>
      <c r="K378" s="6"/>
      <c r="L378" s="6"/>
      <c r="M378" s="6"/>
      <c r="N378" s="6"/>
      <c r="O378" s="6"/>
    </row>
    <row r="379" spans="2:15">
      <c r="B379" s="6"/>
      <c r="C379" s="6"/>
      <c r="D379" s="6"/>
      <c r="E379" s="6"/>
      <c r="F379" s="6"/>
      <c r="G379" s="6" t="s">
        <v>499</v>
      </c>
      <c r="H379" s="9">
        <v>10</v>
      </c>
      <c r="I379" s="6"/>
      <c r="J379" s="9" t="s">
        <v>18</v>
      </c>
      <c r="K379" s="6"/>
      <c r="L379" s="6"/>
      <c r="M379" s="6"/>
      <c r="N379" s="6"/>
      <c r="O379" s="6"/>
    </row>
    <row r="380" spans="2:15">
      <c r="B380" s="6"/>
      <c r="C380" s="6"/>
      <c r="D380" s="6"/>
      <c r="E380" s="6"/>
      <c r="F380" s="6"/>
      <c r="G380" s="6" t="s">
        <v>500</v>
      </c>
      <c r="H380" s="9">
        <v>6</v>
      </c>
      <c r="I380" s="6"/>
      <c r="J380" s="9" t="s">
        <v>18</v>
      </c>
      <c r="K380" s="6"/>
      <c r="L380" s="6"/>
      <c r="M380" s="6"/>
      <c r="N380" s="6"/>
      <c r="O380" s="6"/>
    </row>
    <row r="381" spans="2:15">
      <c r="B381" s="6"/>
      <c r="C381" s="6"/>
      <c r="D381" s="6"/>
      <c r="E381" s="6"/>
      <c r="F381" s="6"/>
      <c r="G381" s="6" t="s">
        <v>501</v>
      </c>
      <c r="H381" s="9">
        <v>8</v>
      </c>
      <c r="I381" s="6"/>
      <c r="J381" s="9" t="s">
        <v>18</v>
      </c>
      <c r="K381" s="6"/>
      <c r="L381" s="6"/>
      <c r="M381" s="6"/>
      <c r="N381" s="6"/>
      <c r="O381" s="6"/>
    </row>
    <row r="382" spans="2:15">
      <c r="B382" s="6"/>
      <c r="C382" s="6"/>
      <c r="D382" s="6"/>
      <c r="E382" s="6"/>
      <c r="F382" s="6"/>
      <c r="G382" s="6" t="s">
        <v>502</v>
      </c>
      <c r="H382" s="9">
        <v>10</v>
      </c>
      <c r="I382" s="6"/>
      <c r="J382" s="9" t="s">
        <v>18</v>
      </c>
      <c r="K382" s="6"/>
      <c r="L382" s="6"/>
      <c r="M382" s="6"/>
      <c r="N382" s="6"/>
      <c r="O382" s="6"/>
    </row>
    <row r="383" spans="2:15">
      <c r="B383" s="6"/>
      <c r="C383" s="6"/>
      <c r="D383" s="6"/>
      <c r="E383" s="6"/>
      <c r="F383" s="6"/>
      <c r="G383" s="6" t="s">
        <v>503</v>
      </c>
      <c r="H383" s="9">
        <v>10</v>
      </c>
      <c r="I383" s="6"/>
      <c r="J383" s="9" t="s">
        <v>18</v>
      </c>
      <c r="K383" s="6"/>
      <c r="L383" s="6"/>
      <c r="M383" s="6"/>
      <c r="N383" s="6" t="s">
        <v>504</v>
      </c>
      <c r="O383" s="6"/>
    </row>
    <row r="384" spans="2:15">
      <c r="B384" s="6"/>
      <c r="C384" s="6"/>
      <c r="D384" s="6"/>
      <c r="E384" s="6"/>
      <c r="F384" s="6"/>
      <c r="G384" s="6" t="s">
        <v>505</v>
      </c>
      <c r="H384" s="6">
        <v>6</v>
      </c>
      <c r="I384" s="6"/>
      <c r="J384" s="7" t="s">
        <v>21</v>
      </c>
      <c r="K384" s="6"/>
      <c r="L384" s="6"/>
      <c r="M384" s="6"/>
      <c r="N384" s="6"/>
      <c r="O384" s="6"/>
    </row>
    <row r="385" spans="2:15">
      <c r="B385" s="6"/>
      <c r="C385" s="6"/>
      <c r="D385" s="6"/>
      <c r="E385" s="6"/>
      <c r="F385" s="6"/>
      <c r="G385" s="6" t="s">
        <v>506</v>
      </c>
      <c r="H385" s="6">
        <v>16</v>
      </c>
      <c r="I385" s="6"/>
      <c r="J385" s="7" t="s">
        <v>21</v>
      </c>
      <c r="K385" s="6"/>
      <c r="L385" s="6"/>
      <c r="M385" s="6"/>
      <c r="N385" s="6"/>
      <c r="O385" s="6"/>
    </row>
    <row r="386" spans="2:15">
      <c r="B386" s="6"/>
      <c r="C386" s="6"/>
      <c r="D386" s="6"/>
      <c r="E386" s="6"/>
      <c r="F386" s="6"/>
      <c r="G386" s="6" t="s">
        <v>507</v>
      </c>
      <c r="H386" s="6">
        <v>4</v>
      </c>
      <c r="I386" s="6"/>
      <c r="J386" s="10" t="s">
        <v>24</v>
      </c>
      <c r="K386" s="6"/>
      <c r="L386" s="6"/>
      <c r="M386" s="6"/>
      <c r="N386" s="6"/>
      <c r="O386" s="6"/>
    </row>
    <row r="387" spans="2:15">
      <c r="B387" s="6"/>
      <c r="C387" s="6"/>
      <c r="D387" s="6"/>
      <c r="E387" s="6"/>
      <c r="F387" s="6"/>
      <c r="G387" s="6" t="s">
        <v>508</v>
      </c>
      <c r="H387" s="6">
        <v>19</v>
      </c>
      <c r="I387" s="6"/>
      <c r="J387" s="10" t="s">
        <v>24</v>
      </c>
      <c r="K387" s="6"/>
      <c r="L387" s="6"/>
      <c r="M387" s="6"/>
      <c r="N387" s="6"/>
      <c r="O387" s="6"/>
    </row>
    <row r="388" spans="2:15">
      <c r="B388" s="6"/>
      <c r="C388" s="6"/>
      <c r="D388" s="6"/>
      <c r="E388" s="6"/>
      <c r="F388" s="6"/>
      <c r="G388" s="6" t="s">
        <v>509</v>
      </c>
      <c r="H388" s="6">
        <v>2</v>
      </c>
      <c r="I388" s="6"/>
      <c r="J388" s="10" t="s">
        <v>24</v>
      </c>
      <c r="K388" s="6"/>
      <c r="L388" s="6"/>
      <c r="M388" s="6"/>
      <c r="N388" s="6"/>
      <c r="O388" s="6"/>
    </row>
    <row r="389" spans="2:15">
      <c r="B389" s="13">
        <v>54</v>
      </c>
      <c r="C389" s="13" t="s">
        <v>510</v>
      </c>
      <c r="D389" s="13" t="s">
        <v>103</v>
      </c>
      <c r="E389" s="13"/>
      <c r="F389" s="13"/>
      <c r="G389" s="13"/>
      <c r="H389" s="13"/>
      <c r="I389" s="13"/>
      <c r="J389" s="13"/>
      <c r="K389" s="30"/>
      <c r="L389" s="13"/>
      <c r="M389" s="13"/>
      <c r="N389" s="13" t="s">
        <v>511</v>
      </c>
      <c r="O389" s="13"/>
    </row>
    <row r="390" spans="2:15">
      <c r="B390" s="6">
        <v>55</v>
      </c>
      <c r="C390" s="6" t="s">
        <v>512</v>
      </c>
      <c r="D390" s="6" t="s">
        <v>103</v>
      </c>
      <c r="E390" s="6"/>
      <c r="F390" s="6"/>
      <c r="G390" s="6" t="s">
        <v>513</v>
      </c>
      <c r="H390" s="9">
        <v>13</v>
      </c>
      <c r="I390" s="6"/>
      <c r="J390" s="9" t="s">
        <v>18</v>
      </c>
      <c r="K390" s="6"/>
      <c r="L390" s="6">
        <v>40</v>
      </c>
      <c r="M390" s="6"/>
      <c r="N390" s="6"/>
      <c r="O390" s="6"/>
    </row>
    <row r="391" spans="2:15">
      <c r="B391" s="6"/>
      <c r="C391" s="6"/>
      <c r="D391" s="6"/>
      <c r="E391" s="6"/>
      <c r="F391" s="6"/>
      <c r="G391" s="6" t="s">
        <v>514</v>
      </c>
      <c r="H391" s="9">
        <v>28</v>
      </c>
      <c r="I391" s="6"/>
      <c r="J391" s="9" t="s">
        <v>18</v>
      </c>
      <c r="K391" s="6"/>
      <c r="L391" s="6"/>
      <c r="M391" s="6"/>
      <c r="N391" s="6"/>
      <c r="O391" s="6"/>
    </row>
    <row r="392" spans="2:15">
      <c r="B392" s="6"/>
      <c r="C392" s="6"/>
      <c r="D392" s="6"/>
      <c r="E392" s="6"/>
      <c r="F392" s="6"/>
      <c r="G392" s="6" t="s">
        <v>515</v>
      </c>
      <c r="H392" s="9">
        <v>10</v>
      </c>
      <c r="I392" s="6"/>
      <c r="J392" s="9" t="s">
        <v>18</v>
      </c>
      <c r="K392" s="6"/>
      <c r="L392" s="6"/>
      <c r="M392" s="6"/>
      <c r="N392" s="6"/>
      <c r="O392" s="6"/>
    </row>
    <row r="393" spans="2:15">
      <c r="B393" s="6"/>
      <c r="C393" s="6"/>
      <c r="D393" s="6"/>
      <c r="E393" s="6"/>
      <c r="F393" s="6"/>
      <c r="G393" s="6" t="s">
        <v>516</v>
      </c>
      <c r="H393" s="6">
        <v>10</v>
      </c>
      <c r="I393" s="7" t="s">
        <v>21</v>
      </c>
      <c r="J393" s="7" t="s">
        <v>21</v>
      </c>
      <c r="K393" s="6"/>
      <c r="L393" s="6"/>
      <c r="M393" s="6"/>
      <c r="N393" s="6"/>
      <c r="O393" s="6"/>
    </row>
    <row r="394" spans="2:15">
      <c r="B394" s="6"/>
      <c r="C394" s="6"/>
      <c r="D394" s="6"/>
      <c r="E394" s="6"/>
      <c r="F394" s="6"/>
      <c r="G394" s="6" t="s">
        <v>517</v>
      </c>
      <c r="H394" s="6">
        <v>10</v>
      </c>
      <c r="I394" s="6"/>
      <c r="J394" s="7" t="s">
        <v>21</v>
      </c>
      <c r="K394" s="6"/>
      <c r="L394" s="6">
        <v>20</v>
      </c>
      <c r="M394" s="6"/>
      <c r="N394" s="6"/>
      <c r="O394" s="6"/>
    </row>
    <row r="395" spans="2:15">
      <c r="B395" s="6"/>
      <c r="C395" s="6"/>
      <c r="D395" s="6"/>
      <c r="E395" s="6"/>
      <c r="F395" s="6"/>
      <c r="G395" s="6" t="s">
        <v>518</v>
      </c>
      <c r="H395" s="6"/>
      <c r="I395" s="6"/>
      <c r="J395" s="7"/>
      <c r="K395" s="6"/>
      <c r="L395" s="6"/>
      <c r="M395" s="6"/>
      <c r="N395" s="6"/>
      <c r="O395" s="6"/>
    </row>
    <row r="396" spans="2:15">
      <c r="B396" s="6"/>
      <c r="C396" s="6"/>
      <c r="D396" s="6"/>
      <c r="E396" s="6"/>
      <c r="F396" s="6"/>
      <c r="G396" s="6" t="s">
        <v>519</v>
      </c>
      <c r="H396" s="6">
        <v>4</v>
      </c>
      <c r="I396" s="6"/>
      <c r="J396" s="10" t="s">
        <v>24</v>
      </c>
      <c r="K396" s="6"/>
      <c r="L396" s="6">
        <v>97</v>
      </c>
      <c r="M396" s="6"/>
      <c r="N396" s="6"/>
      <c r="O396" s="6"/>
    </row>
    <row r="397" spans="2:15">
      <c r="B397" s="6"/>
      <c r="C397" s="6"/>
      <c r="D397" s="6"/>
      <c r="E397" s="6"/>
      <c r="F397" s="6"/>
      <c r="G397" s="6" t="s">
        <v>520</v>
      </c>
      <c r="H397" s="6">
        <v>8</v>
      </c>
      <c r="I397" s="6"/>
      <c r="J397" s="10" t="s">
        <v>24</v>
      </c>
      <c r="K397" s="6"/>
      <c r="L397" s="6">
        <v>100</v>
      </c>
      <c r="M397" s="6"/>
      <c r="N397" s="6"/>
      <c r="O397" s="6"/>
    </row>
    <row r="398" spans="2:15">
      <c r="B398" s="6"/>
      <c r="C398" s="6"/>
      <c r="D398" s="6"/>
      <c r="E398" s="6"/>
      <c r="F398" s="6"/>
      <c r="G398" s="6" t="s">
        <v>521</v>
      </c>
      <c r="H398" s="6">
        <v>8</v>
      </c>
      <c r="I398" s="6"/>
      <c r="J398" s="10" t="s">
        <v>24</v>
      </c>
      <c r="K398" s="6"/>
      <c r="L398" s="6">
        <v>60</v>
      </c>
      <c r="M398" s="6"/>
      <c r="N398" s="6"/>
      <c r="O398" s="6"/>
    </row>
    <row r="399" spans="2:15">
      <c r="B399" s="6"/>
      <c r="C399" s="6"/>
      <c r="D399" s="6"/>
      <c r="E399" s="6"/>
      <c r="F399" s="6"/>
      <c r="G399" s="6" t="s">
        <v>522</v>
      </c>
      <c r="H399" s="6">
        <v>11</v>
      </c>
      <c r="I399" s="6"/>
      <c r="J399" s="10" t="s">
        <v>24</v>
      </c>
      <c r="K399" s="6"/>
      <c r="L399" s="6"/>
      <c r="M399" s="6"/>
      <c r="N399" s="6"/>
      <c r="O399" s="6"/>
    </row>
    <row r="400" spans="2:15">
      <c r="B400" s="6"/>
      <c r="C400" s="6"/>
      <c r="D400" s="6"/>
      <c r="E400" s="6"/>
      <c r="F400" s="6"/>
      <c r="G400" s="6" t="s">
        <v>523</v>
      </c>
      <c r="H400" s="6">
        <v>5</v>
      </c>
      <c r="I400" s="6"/>
      <c r="J400" s="10" t="s">
        <v>24</v>
      </c>
      <c r="K400" s="6"/>
      <c r="L400" s="6"/>
      <c r="M400" s="6"/>
      <c r="N400" s="6"/>
      <c r="O400" s="6"/>
    </row>
    <row r="401" spans="2:15">
      <c r="B401" s="6">
        <v>56</v>
      </c>
      <c r="C401" s="6" t="s">
        <v>524</v>
      </c>
      <c r="D401" s="6" t="s">
        <v>103</v>
      </c>
      <c r="E401" s="6"/>
      <c r="F401" s="6"/>
      <c r="G401" s="6" t="s">
        <v>525</v>
      </c>
      <c r="H401" s="6">
        <v>10</v>
      </c>
      <c r="I401" s="6"/>
      <c r="J401" s="7" t="s">
        <v>21</v>
      </c>
      <c r="K401" s="6"/>
      <c r="L401" s="6"/>
      <c r="M401" s="6"/>
      <c r="N401" s="6"/>
      <c r="O401" s="6"/>
    </row>
    <row r="402" spans="2:15">
      <c r="B402" s="6"/>
      <c r="C402" s="6"/>
      <c r="D402" s="6"/>
      <c r="E402" s="6"/>
      <c r="F402" s="6"/>
      <c r="G402" s="6" t="s">
        <v>526</v>
      </c>
      <c r="H402" s="9">
        <v>20</v>
      </c>
      <c r="I402" s="6"/>
      <c r="J402" s="9" t="s">
        <v>18</v>
      </c>
      <c r="K402" s="6"/>
      <c r="L402" s="6"/>
      <c r="M402" s="6"/>
      <c r="N402" s="6"/>
      <c r="O402" s="6"/>
    </row>
    <row r="403" spans="2:15">
      <c r="B403" s="6">
        <v>57</v>
      </c>
      <c r="C403" s="6" t="s">
        <v>527</v>
      </c>
      <c r="D403" s="6" t="s">
        <v>15</v>
      </c>
      <c r="E403" s="6"/>
      <c r="F403" s="6"/>
      <c r="G403" s="6" t="s">
        <v>528</v>
      </c>
      <c r="H403" s="9">
        <v>12</v>
      </c>
      <c r="I403" s="6"/>
      <c r="J403" s="9" t="s">
        <v>18</v>
      </c>
      <c r="K403" s="6"/>
      <c r="L403" s="6"/>
      <c r="M403" s="6"/>
      <c r="N403" s="6"/>
      <c r="O403" s="6"/>
    </row>
    <row r="404" spans="2:15">
      <c r="B404" s="6"/>
      <c r="C404" s="6"/>
      <c r="D404" s="6"/>
      <c r="E404" s="6"/>
      <c r="F404" s="6"/>
      <c r="G404" s="6" t="s">
        <v>529</v>
      </c>
      <c r="H404" s="6">
        <v>20</v>
      </c>
      <c r="I404" s="7" t="s">
        <v>21</v>
      </c>
      <c r="J404" s="7" t="s">
        <v>21</v>
      </c>
      <c r="K404" s="6"/>
      <c r="L404" s="6"/>
      <c r="M404" s="6"/>
      <c r="N404" s="6"/>
      <c r="O404" s="6"/>
    </row>
    <row r="405" spans="2:15">
      <c r="B405" s="6"/>
      <c r="C405" s="6"/>
      <c r="D405" s="6"/>
      <c r="E405" s="6"/>
      <c r="F405" s="6"/>
      <c r="G405" s="6" t="s">
        <v>530</v>
      </c>
      <c r="H405" s="6">
        <v>40</v>
      </c>
      <c r="I405" s="6"/>
      <c r="J405" s="10" t="s">
        <v>24</v>
      </c>
      <c r="K405" s="6"/>
      <c r="L405" s="6"/>
      <c r="M405" s="6"/>
      <c r="N405" s="6"/>
      <c r="O405" s="6"/>
    </row>
    <row r="406" spans="2:15">
      <c r="B406" s="6"/>
      <c r="C406" s="6"/>
      <c r="D406" s="6"/>
      <c r="E406" s="6"/>
      <c r="F406" s="6"/>
      <c r="G406" s="6" t="s">
        <v>531</v>
      </c>
      <c r="H406" s="6">
        <v>2</v>
      </c>
      <c r="I406" s="6"/>
      <c r="J406" s="10" t="s">
        <v>24</v>
      </c>
      <c r="K406" s="6"/>
      <c r="L406" s="6"/>
      <c r="M406" s="6"/>
      <c r="N406" s="6"/>
      <c r="O406" s="6"/>
    </row>
    <row r="407" spans="2:15">
      <c r="B407" s="6"/>
      <c r="C407" s="6"/>
      <c r="D407" s="6"/>
      <c r="E407" s="6"/>
      <c r="F407" s="6"/>
      <c r="G407" s="6" t="s">
        <v>532</v>
      </c>
      <c r="H407" s="6">
        <v>5</v>
      </c>
      <c r="I407" s="6"/>
      <c r="J407" s="7" t="s">
        <v>21</v>
      </c>
      <c r="K407" s="6"/>
      <c r="L407" s="6"/>
      <c r="M407" s="6"/>
      <c r="N407" s="6"/>
      <c r="O407" s="6"/>
    </row>
    <row r="408" spans="2:15">
      <c r="B408" s="6"/>
      <c r="C408" s="6"/>
      <c r="D408" s="6"/>
      <c r="E408" s="6"/>
      <c r="F408" s="6"/>
      <c r="G408" s="6" t="s">
        <v>533</v>
      </c>
      <c r="H408" s="6">
        <v>6</v>
      </c>
      <c r="I408" s="6"/>
      <c r="J408" s="10" t="s">
        <v>24</v>
      </c>
      <c r="K408" s="6"/>
      <c r="L408" s="6"/>
      <c r="M408" s="6"/>
      <c r="N408" s="6"/>
      <c r="O408" s="6"/>
    </row>
    <row r="409" spans="2:15">
      <c r="B409" s="6"/>
      <c r="C409" s="6"/>
      <c r="D409" s="6"/>
      <c r="E409" s="6"/>
      <c r="F409" s="6"/>
      <c r="G409" s="6" t="s">
        <v>534</v>
      </c>
      <c r="H409" s="6">
        <v>4</v>
      </c>
      <c r="I409" s="6"/>
      <c r="J409" s="7" t="s">
        <v>21</v>
      </c>
      <c r="K409" s="6"/>
      <c r="L409" s="6"/>
      <c r="M409" s="6"/>
      <c r="N409" s="6"/>
      <c r="O409" s="6"/>
    </row>
    <row r="410" spans="2:15">
      <c r="B410" s="6"/>
      <c r="C410" s="6"/>
      <c r="D410" s="6"/>
      <c r="E410" s="6"/>
      <c r="F410" s="6"/>
      <c r="G410" s="6" t="s">
        <v>535</v>
      </c>
      <c r="H410" s="6">
        <v>4</v>
      </c>
      <c r="I410" s="6"/>
      <c r="J410" s="10" t="s">
        <v>24</v>
      </c>
      <c r="K410" s="6"/>
      <c r="L410" s="6"/>
      <c r="M410" s="6"/>
      <c r="N410" s="6"/>
      <c r="O410" s="6"/>
    </row>
    <row r="411" spans="2:15">
      <c r="B411" s="6"/>
      <c r="C411" s="6"/>
      <c r="D411" s="6"/>
      <c r="E411" s="6"/>
      <c r="F411" s="6"/>
      <c r="G411" s="6" t="s">
        <v>536</v>
      </c>
      <c r="H411" s="6">
        <v>3</v>
      </c>
      <c r="I411" s="6"/>
      <c r="J411" s="10" t="s">
        <v>24</v>
      </c>
      <c r="K411" s="6"/>
      <c r="L411" s="6"/>
      <c r="M411" s="6"/>
      <c r="N411" s="6"/>
      <c r="O411" s="6"/>
    </row>
    <row r="412" spans="2:15">
      <c r="B412" s="6"/>
      <c r="C412" s="6"/>
      <c r="D412" s="6"/>
      <c r="E412" s="6"/>
      <c r="F412" s="6"/>
      <c r="G412" s="6" t="s">
        <v>537</v>
      </c>
      <c r="H412" s="6">
        <v>4</v>
      </c>
      <c r="I412" s="6"/>
      <c r="J412" s="10" t="s">
        <v>24</v>
      </c>
      <c r="K412" s="6"/>
      <c r="L412" s="6"/>
      <c r="M412" s="6"/>
      <c r="N412" s="6"/>
      <c r="O412" s="6"/>
    </row>
    <row r="413" spans="2:15">
      <c r="B413" s="6">
        <v>58</v>
      </c>
      <c r="C413" s="6" t="s">
        <v>538</v>
      </c>
      <c r="D413" s="6" t="s">
        <v>103</v>
      </c>
      <c r="E413" s="6" t="s">
        <v>539</v>
      </c>
      <c r="F413" s="6"/>
      <c r="G413" s="6" t="s">
        <v>540</v>
      </c>
      <c r="H413" s="6">
        <v>4</v>
      </c>
      <c r="I413" s="6"/>
      <c r="J413" s="10" t="s">
        <v>24</v>
      </c>
      <c r="K413" s="6"/>
      <c r="L413" s="6"/>
      <c r="M413" s="6"/>
      <c r="N413" s="6"/>
      <c r="O413" s="6"/>
    </row>
    <row r="414" spans="2:15">
      <c r="B414" s="6"/>
      <c r="C414" s="6"/>
      <c r="D414" s="6"/>
      <c r="E414" s="6" t="s">
        <v>541</v>
      </c>
      <c r="F414" s="6"/>
      <c r="G414" s="6" t="s">
        <v>542</v>
      </c>
      <c r="H414" s="9">
        <v>10</v>
      </c>
      <c r="I414" s="6"/>
      <c r="J414" s="9" t="s">
        <v>18</v>
      </c>
      <c r="K414" s="6"/>
      <c r="L414" s="6"/>
      <c r="M414" s="6"/>
      <c r="N414" s="6"/>
      <c r="O414" s="6"/>
    </row>
    <row r="415" spans="2:15">
      <c r="B415" s="6"/>
      <c r="C415" s="6"/>
      <c r="D415" s="6"/>
      <c r="E415" s="6" t="s">
        <v>541</v>
      </c>
      <c r="F415" s="6"/>
      <c r="G415" s="6" t="s">
        <v>543</v>
      </c>
      <c r="H415" s="9">
        <v>10</v>
      </c>
      <c r="I415" s="6"/>
      <c r="J415" s="9" t="s">
        <v>18</v>
      </c>
      <c r="K415" s="6"/>
      <c r="L415" s="6"/>
      <c r="M415" s="6"/>
      <c r="N415" s="6"/>
      <c r="O415" s="6"/>
    </row>
    <row r="416" spans="2:15">
      <c r="B416" s="6"/>
      <c r="C416" s="6"/>
      <c r="D416" s="6"/>
      <c r="E416" s="6" t="s">
        <v>129</v>
      </c>
      <c r="F416" s="6"/>
      <c r="G416" s="6" t="s">
        <v>544</v>
      </c>
      <c r="H416" s="9">
        <v>20</v>
      </c>
      <c r="I416" s="6"/>
      <c r="J416" s="9" t="s">
        <v>18</v>
      </c>
      <c r="K416" s="6"/>
      <c r="L416" s="6"/>
      <c r="M416" s="6"/>
      <c r="N416" s="6"/>
      <c r="O416" s="6"/>
    </row>
    <row r="417" spans="2:15">
      <c r="B417" s="6"/>
      <c r="C417" s="6"/>
      <c r="D417" s="6"/>
      <c r="E417" s="6"/>
      <c r="F417" s="6"/>
      <c r="G417" s="6">
        <v>1950</v>
      </c>
      <c r="H417" s="6"/>
      <c r="I417" s="6"/>
      <c r="J417" s="10" t="s">
        <v>545</v>
      </c>
      <c r="K417" s="6"/>
      <c r="L417" s="6"/>
      <c r="M417" s="6"/>
      <c r="N417" s="6"/>
      <c r="O417" s="6"/>
    </row>
    <row r="418" spans="2:15">
      <c r="B418" s="6"/>
      <c r="C418" s="6"/>
      <c r="D418" s="6"/>
      <c r="E418" s="6" t="s">
        <v>129</v>
      </c>
      <c r="F418" s="6"/>
      <c r="G418" s="6" t="s">
        <v>546</v>
      </c>
      <c r="H418" s="6">
        <v>5</v>
      </c>
      <c r="I418" s="6"/>
      <c r="J418" s="7" t="s">
        <v>21</v>
      </c>
      <c r="K418" s="6"/>
      <c r="L418" s="6"/>
      <c r="M418" s="6"/>
      <c r="N418" s="6"/>
      <c r="O418" s="6"/>
    </row>
    <row r="419" spans="2:15">
      <c r="B419" s="6"/>
      <c r="C419" s="6"/>
      <c r="D419" s="6"/>
      <c r="E419" s="6" t="s">
        <v>54</v>
      </c>
      <c r="F419" s="6"/>
      <c r="G419" s="6" t="s">
        <v>547</v>
      </c>
      <c r="H419" s="9">
        <v>10</v>
      </c>
      <c r="I419" s="6"/>
      <c r="J419" s="9" t="s">
        <v>18</v>
      </c>
      <c r="K419" s="6"/>
      <c r="L419" s="6"/>
      <c r="M419" s="6"/>
      <c r="N419" s="6"/>
      <c r="O419" s="6"/>
    </row>
    <row r="420" spans="2:15">
      <c r="B420" s="6"/>
      <c r="C420" s="6"/>
      <c r="D420" s="6"/>
      <c r="E420" s="6" t="s">
        <v>54</v>
      </c>
      <c r="F420" s="6"/>
      <c r="G420" s="6" t="s">
        <v>548</v>
      </c>
      <c r="H420" s="9">
        <v>10</v>
      </c>
      <c r="I420" s="6"/>
      <c r="J420" s="9" t="s">
        <v>18</v>
      </c>
      <c r="K420" s="6"/>
      <c r="L420" s="6"/>
      <c r="M420" s="6"/>
      <c r="N420" s="6"/>
      <c r="O420" s="6"/>
    </row>
    <row r="421" spans="2:15">
      <c r="B421" s="6"/>
      <c r="C421" s="6"/>
      <c r="D421" s="6"/>
      <c r="E421" s="6" t="s">
        <v>54</v>
      </c>
      <c r="F421" s="6"/>
      <c r="G421" s="6" t="s">
        <v>549</v>
      </c>
      <c r="H421" s="9">
        <v>30</v>
      </c>
      <c r="I421" s="6"/>
      <c r="J421" s="9" t="s">
        <v>18</v>
      </c>
      <c r="K421" s="6"/>
      <c r="L421" s="6"/>
      <c r="M421" s="6"/>
      <c r="N421" s="6"/>
      <c r="O421" s="6"/>
    </row>
    <row r="422" spans="2:15">
      <c r="B422" s="6">
        <v>59</v>
      </c>
      <c r="C422" s="6" t="s">
        <v>550</v>
      </c>
      <c r="D422" s="15" t="s">
        <v>103</v>
      </c>
      <c r="E422" s="6"/>
      <c r="F422" s="6" t="s">
        <v>551</v>
      </c>
      <c r="G422" s="6" t="s">
        <v>552</v>
      </c>
      <c r="H422" s="6">
        <v>5</v>
      </c>
      <c r="I422" s="6"/>
      <c r="J422" s="7" t="s">
        <v>21</v>
      </c>
      <c r="K422" s="6"/>
      <c r="L422" s="6"/>
      <c r="M422" s="6"/>
      <c r="N422" s="6"/>
      <c r="O422" s="6"/>
    </row>
    <row r="423" spans="2:15">
      <c r="B423" s="6"/>
      <c r="C423" s="6"/>
      <c r="D423" s="6"/>
      <c r="E423" s="6" t="s">
        <v>16</v>
      </c>
      <c r="F423" s="6"/>
      <c r="G423" s="6" t="s">
        <v>553</v>
      </c>
      <c r="H423" s="6">
        <v>10</v>
      </c>
      <c r="I423" s="6"/>
      <c r="J423" s="7" t="s">
        <v>21</v>
      </c>
      <c r="K423" s="6"/>
      <c r="L423" s="6"/>
      <c r="M423" s="6"/>
      <c r="N423" s="6"/>
      <c r="O423" s="6"/>
    </row>
    <row r="424" spans="2:15" ht="14.25">
      <c r="B424" s="6">
        <v>60</v>
      </c>
      <c r="C424" s="6" t="s">
        <v>554</v>
      </c>
      <c r="D424" s="6"/>
      <c r="E424" s="6"/>
      <c r="F424" s="6" t="s">
        <v>555</v>
      </c>
      <c r="G424" s="6" t="s">
        <v>556</v>
      </c>
      <c r="H424" s="6">
        <v>20</v>
      </c>
      <c r="I424" s="6"/>
      <c r="J424" s="7" t="s">
        <v>21</v>
      </c>
      <c r="K424" s="6"/>
      <c r="L424" s="6"/>
      <c r="M424" s="6"/>
      <c r="N424" s="6"/>
      <c r="O424" s="6"/>
    </row>
    <row r="425" spans="2:15" ht="14.25">
      <c r="B425" s="6"/>
      <c r="C425" s="6"/>
      <c r="D425" s="6"/>
      <c r="E425" s="6"/>
      <c r="F425" s="6" t="s">
        <v>555</v>
      </c>
      <c r="G425" s="6" t="s">
        <v>557</v>
      </c>
      <c r="H425" s="6">
        <v>11</v>
      </c>
      <c r="I425" s="6"/>
      <c r="J425" s="7" t="s">
        <v>21</v>
      </c>
      <c r="K425" s="6"/>
      <c r="L425" s="6"/>
      <c r="M425" s="6"/>
      <c r="N425" s="6"/>
      <c r="O425" s="6"/>
    </row>
    <row r="426" spans="2:15" ht="14.25">
      <c r="B426" s="6"/>
      <c r="C426" s="6"/>
      <c r="D426" s="6"/>
      <c r="E426" s="6"/>
      <c r="F426" s="6" t="s">
        <v>555</v>
      </c>
      <c r="G426" s="6" t="s">
        <v>558</v>
      </c>
      <c r="H426" s="6">
        <v>4</v>
      </c>
      <c r="I426" s="6"/>
      <c r="J426" s="7" t="s">
        <v>21</v>
      </c>
      <c r="K426" s="6"/>
      <c r="L426" s="6"/>
      <c r="M426" s="6"/>
      <c r="N426" s="6"/>
      <c r="O426" s="6"/>
    </row>
    <row r="427" spans="2:15" ht="14.25">
      <c r="B427" s="6">
        <v>61</v>
      </c>
      <c r="C427" s="6" t="s">
        <v>559</v>
      </c>
      <c r="D427" s="6"/>
      <c r="E427" s="6"/>
      <c r="F427" s="6" t="s">
        <v>555</v>
      </c>
      <c r="G427" s="6" t="s">
        <v>560</v>
      </c>
      <c r="H427" s="6">
        <v>12</v>
      </c>
      <c r="I427" s="6"/>
      <c r="J427" s="7" t="s">
        <v>21</v>
      </c>
      <c r="K427" s="6"/>
      <c r="L427" s="6"/>
      <c r="M427" s="6"/>
      <c r="N427" s="6"/>
      <c r="O427" s="6"/>
    </row>
    <row r="428" spans="2:15" ht="14.25">
      <c r="B428" s="6"/>
      <c r="C428" s="6"/>
      <c r="D428" s="6"/>
      <c r="E428" s="6"/>
      <c r="F428" s="6" t="s">
        <v>555</v>
      </c>
      <c r="G428" s="6" t="s">
        <v>561</v>
      </c>
      <c r="H428" s="6">
        <v>16</v>
      </c>
      <c r="I428" s="6"/>
      <c r="J428" s="7" t="s">
        <v>21</v>
      </c>
      <c r="K428" s="6"/>
      <c r="L428" s="6"/>
      <c r="M428" s="6"/>
      <c r="N428" s="6"/>
      <c r="O428" s="6"/>
    </row>
    <row r="429" spans="2:15" ht="14.25">
      <c r="B429" s="6"/>
      <c r="C429" s="6"/>
      <c r="D429" s="6"/>
      <c r="E429" s="6"/>
      <c r="F429" s="6" t="s">
        <v>555</v>
      </c>
      <c r="G429" s="6" t="s">
        <v>562</v>
      </c>
      <c r="H429" s="6">
        <v>10</v>
      </c>
      <c r="I429" s="6"/>
      <c r="J429" s="7" t="s">
        <v>21</v>
      </c>
      <c r="K429" s="6"/>
      <c r="L429" s="6"/>
      <c r="M429" s="6"/>
      <c r="N429" s="6"/>
      <c r="O429" s="6"/>
    </row>
    <row r="430" spans="2:15" ht="14.25">
      <c r="B430" s="6"/>
      <c r="C430" s="6"/>
      <c r="D430" s="6"/>
      <c r="E430" s="6"/>
      <c r="F430" s="6" t="s">
        <v>555</v>
      </c>
      <c r="G430" s="6" t="s">
        <v>563</v>
      </c>
      <c r="H430" s="6">
        <v>9</v>
      </c>
      <c r="I430" s="6"/>
      <c r="J430" s="7" t="s">
        <v>21</v>
      </c>
      <c r="K430" s="6"/>
      <c r="L430" s="6"/>
      <c r="M430" s="6"/>
      <c r="N430" s="6"/>
      <c r="O430" s="6"/>
    </row>
    <row r="431" spans="2:15">
      <c r="B431" s="6">
        <v>62</v>
      </c>
      <c r="C431" s="6" t="s">
        <v>564</v>
      </c>
      <c r="D431" s="6"/>
      <c r="E431" s="6"/>
      <c r="F431" s="6" t="s">
        <v>555</v>
      </c>
      <c r="G431" s="6" t="s">
        <v>565</v>
      </c>
      <c r="H431" s="6">
        <v>15</v>
      </c>
      <c r="I431" s="6"/>
      <c r="J431" s="7" t="s">
        <v>21</v>
      </c>
      <c r="K431" s="6"/>
      <c r="L431" s="6"/>
      <c r="M431" s="6"/>
      <c r="N431" s="6"/>
      <c r="O431" s="6"/>
    </row>
    <row r="432" spans="2:15">
      <c r="B432" s="6"/>
      <c r="C432" s="6"/>
      <c r="D432" s="6"/>
      <c r="E432" s="6"/>
      <c r="F432" s="6" t="s">
        <v>555</v>
      </c>
      <c r="G432" s="6" t="s">
        <v>566</v>
      </c>
      <c r="H432" s="6">
        <v>16</v>
      </c>
      <c r="I432" s="6"/>
      <c r="J432" s="7" t="s">
        <v>21</v>
      </c>
      <c r="K432" s="6"/>
      <c r="L432" s="6"/>
      <c r="M432" s="6"/>
      <c r="N432" s="6"/>
      <c r="O432" s="6"/>
    </row>
    <row r="433" spans="2:15">
      <c r="B433" s="6"/>
      <c r="C433" s="6"/>
      <c r="D433" s="6"/>
      <c r="E433" s="6"/>
      <c r="F433" s="6" t="s">
        <v>555</v>
      </c>
      <c r="G433" s="6" t="s">
        <v>567</v>
      </c>
      <c r="H433" s="6">
        <v>2</v>
      </c>
      <c r="I433" s="6"/>
      <c r="J433" s="7" t="s">
        <v>21</v>
      </c>
      <c r="K433" s="6"/>
      <c r="L433" s="6"/>
      <c r="M433" s="6"/>
      <c r="N433" s="6"/>
      <c r="O433" s="6"/>
    </row>
    <row r="434" spans="2:15">
      <c r="B434" s="6"/>
      <c r="C434" s="6"/>
      <c r="D434" s="6"/>
      <c r="E434" s="6"/>
      <c r="F434" s="6" t="s">
        <v>555</v>
      </c>
      <c r="G434" s="6" t="s">
        <v>568</v>
      </c>
      <c r="H434" s="6">
        <v>2</v>
      </c>
      <c r="I434" s="6"/>
      <c r="J434" s="7" t="s">
        <v>21</v>
      </c>
      <c r="K434" s="6"/>
      <c r="L434" s="6"/>
      <c r="M434" s="6"/>
      <c r="N434" s="6"/>
      <c r="O434" s="6"/>
    </row>
    <row r="435" spans="2:15">
      <c r="B435" s="6">
        <v>63</v>
      </c>
      <c r="C435" s="6" t="s">
        <v>569</v>
      </c>
      <c r="D435" s="6"/>
      <c r="E435" s="6"/>
      <c r="F435" s="6" t="s">
        <v>555</v>
      </c>
      <c r="G435" s="6" t="s">
        <v>570</v>
      </c>
      <c r="H435" s="6">
        <v>9</v>
      </c>
      <c r="I435" s="6"/>
      <c r="J435" s="7" t="s">
        <v>21</v>
      </c>
      <c r="K435" s="6"/>
      <c r="L435" s="6"/>
      <c r="M435" s="6"/>
      <c r="N435" s="6"/>
      <c r="O435" s="6"/>
    </row>
    <row r="436" spans="2:15">
      <c r="B436" s="6"/>
      <c r="C436" s="6"/>
      <c r="D436" s="6"/>
      <c r="E436" s="6"/>
      <c r="F436" s="6" t="s">
        <v>555</v>
      </c>
      <c r="G436" s="6" t="s">
        <v>571</v>
      </c>
      <c r="H436" s="6">
        <v>10</v>
      </c>
      <c r="I436" s="6"/>
      <c r="J436" s="7" t="s">
        <v>21</v>
      </c>
      <c r="K436" s="6"/>
      <c r="L436" s="6"/>
      <c r="M436" s="6"/>
      <c r="N436" s="6"/>
      <c r="O436" s="6"/>
    </row>
    <row r="437" spans="2:15">
      <c r="B437" s="6"/>
      <c r="C437" s="6"/>
      <c r="D437" s="6"/>
      <c r="E437" s="6"/>
      <c r="F437" s="6" t="s">
        <v>555</v>
      </c>
      <c r="G437" s="6" t="s">
        <v>572</v>
      </c>
      <c r="H437" s="6">
        <v>11</v>
      </c>
      <c r="I437" s="6"/>
      <c r="J437" s="7" t="s">
        <v>21</v>
      </c>
      <c r="K437" s="6"/>
      <c r="L437" s="6"/>
      <c r="M437" s="6"/>
      <c r="N437" s="6"/>
      <c r="O437" s="6"/>
    </row>
    <row r="438" spans="2:15">
      <c r="B438" s="6"/>
      <c r="C438" s="6"/>
      <c r="D438" s="6"/>
      <c r="E438" s="6"/>
      <c r="F438" s="6" t="s">
        <v>555</v>
      </c>
      <c r="G438" s="6" t="s">
        <v>573</v>
      </c>
      <c r="H438" s="6">
        <v>5</v>
      </c>
      <c r="I438" s="6"/>
      <c r="J438" s="7" t="s">
        <v>21</v>
      </c>
      <c r="K438" s="6"/>
      <c r="L438" s="6"/>
      <c r="M438" s="6"/>
      <c r="N438" s="6"/>
      <c r="O438" s="6"/>
    </row>
    <row r="439" spans="2:15">
      <c r="B439" s="6">
        <v>64</v>
      </c>
      <c r="C439" s="6" t="s">
        <v>574</v>
      </c>
      <c r="D439" s="6"/>
      <c r="E439" s="6"/>
      <c r="F439" s="6" t="s">
        <v>555</v>
      </c>
      <c r="G439" s="6" t="s">
        <v>575</v>
      </c>
      <c r="H439" s="6">
        <v>18</v>
      </c>
      <c r="I439" s="6"/>
      <c r="J439" s="7" t="s">
        <v>21</v>
      </c>
      <c r="K439" s="6"/>
      <c r="L439" s="6"/>
      <c r="M439" s="6"/>
      <c r="N439" s="6"/>
      <c r="O439" s="6"/>
    </row>
    <row r="440" spans="2:15">
      <c r="B440" s="6"/>
      <c r="C440" s="6"/>
      <c r="D440" s="6"/>
      <c r="E440" s="6"/>
      <c r="F440" s="6" t="s">
        <v>555</v>
      </c>
      <c r="G440" s="6" t="s">
        <v>576</v>
      </c>
      <c r="H440" s="6">
        <v>16</v>
      </c>
      <c r="I440" s="6"/>
      <c r="J440" s="7" t="s">
        <v>21</v>
      </c>
      <c r="K440" s="6"/>
      <c r="L440" s="6"/>
      <c r="M440" s="6"/>
      <c r="N440" s="6"/>
      <c r="O440" s="6"/>
    </row>
    <row r="441" spans="2:15">
      <c r="B441" s="6"/>
      <c r="C441" s="6"/>
      <c r="D441" s="6"/>
      <c r="E441" s="6"/>
      <c r="F441" s="6" t="s">
        <v>555</v>
      </c>
      <c r="G441" s="6" t="s">
        <v>577</v>
      </c>
      <c r="H441" s="6">
        <v>5</v>
      </c>
      <c r="I441" s="6"/>
      <c r="J441" s="7" t="s">
        <v>21</v>
      </c>
      <c r="K441" s="6"/>
      <c r="L441" s="6"/>
      <c r="M441" s="6"/>
      <c r="N441" s="6"/>
      <c r="O441" s="6"/>
    </row>
    <row r="442" spans="2:15">
      <c r="B442" s="6"/>
      <c r="C442" s="6"/>
      <c r="D442" s="6"/>
      <c r="E442" s="6"/>
      <c r="F442" s="6" t="s">
        <v>555</v>
      </c>
      <c r="G442" s="6" t="s">
        <v>578</v>
      </c>
      <c r="H442" s="6">
        <v>3</v>
      </c>
      <c r="I442" s="6"/>
      <c r="J442" s="7" t="s">
        <v>21</v>
      </c>
      <c r="K442" s="6"/>
      <c r="L442" s="6"/>
      <c r="M442" s="6"/>
      <c r="N442" s="6"/>
      <c r="O442" s="6"/>
    </row>
    <row r="443" spans="2:15">
      <c r="B443" s="6"/>
      <c r="C443" s="6"/>
      <c r="D443" s="6"/>
      <c r="E443" s="6"/>
      <c r="F443" s="6" t="s">
        <v>555</v>
      </c>
      <c r="G443" s="6" t="s">
        <v>579</v>
      </c>
      <c r="H443" s="6">
        <v>5</v>
      </c>
      <c r="I443" s="6"/>
      <c r="J443" s="7" t="s">
        <v>21</v>
      </c>
      <c r="K443" s="6"/>
      <c r="L443" s="6"/>
      <c r="M443" s="6"/>
      <c r="N443" s="6"/>
      <c r="O443" s="6"/>
    </row>
    <row r="444" spans="2:15">
      <c r="B444" s="6"/>
      <c r="C444" s="6"/>
      <c r="D444" s="6"/>
      <c r="E444" s="6"/>
      <c r="F444" s="6" t="s">
        <v>555</v>
      </c>
      <c r="G444" s="6" t="s">
        <v>580</v>
      </c>
      <c r="H444" s="6">
        <v>13</v>
      </c>
      <c r="I444" s="6"/>
      <c r="J444" s="7" t="s">
        <v>21</v>
      </c>
      <c r="K444" s="6"/>
      <c r="L444" s="6"/>
      <c r="M444" s="6"/>
      <c r="N444" s="6"/>
      <c r="O444" s="6"/>
    </row>
    <row r="445" spans="2:15">
      <c r="B445" s="6"/>
      <c r="C445" s="6"/>
      <c r="D445" s="6"/>
      <c r="E445" s="6"/>
      <c r="F445" s="6" t="s">
        <v>555</v>
      </c>
      <c r="G445" s="6" t="s">
        <v>581</v>
      </c>
      <c r="H445" s="6">
        <v>3</v>
      </c>
      <c r="I445" s="6"/>
      <c r="J445" s="7" t="s">
        <v>21</v>
      </c>
      <c r="K445" s="6"/>
      <c r="L445" s="6"/>
      <c r="M445" s="6"/>
      <c r="N445" s="6"/>
      <c r="O445" s="6"/>
    </row>
    <row r="446" spans="2:15">
      <c r="B446" s="6">
        <v>65</v>
      </c>
      <c r="C446" s="6" t="s">
        <v>582</v>
      </c>
      <c r="D446" s="6"/>
      <c r="E446" s="6"/>
      <c r="F446" s="6" t="s">
        <v>555</v>
      </c>
      <c r="G446" s="6" t="s">
        <v>583</v>
      </c>
      <c r="H446" s="6">
        <v>58</v>
      </c>
      <c r="I446" s="6"/>
      <c r="J446" s="7" t="s">
        <v>21</v>
      </c>
      <c r="K446" s="6"/>
      <c r="L446" s="6"/>
      <c r="M446" s="6"/>
      <c r="N446" s="6"/>
      <c r="O446" s="6"/>
    </row>
    <row r="447" spans="2:15">
      <c r="B447" s="6"/>
      <c r="C447" s="6"/>
      <c r="D447" s="6"/>
      <c r="E447" s="6"/>
      <c r="F447" s="6" t="s">
        <v>555</v>
      </c>
      <c r="G447" s="6" t="s">
        <v>584</v>
      </c>
      <c r="H447" s="6">
        <v>7</v>
      </c>
      <c r="I447" s="6"/>
      <c r="J447" s="7" t="s">
        <v>21</v>
      </c>
      <c r="K447" s="6"/>
      <c r="L447" s="6"/>
      <c r="M447" s="6"/>
      <c r="N447" s="6"/>
      <c r="O447" s="6"/>
    </row>
    <row r="448" spans="2:15">
      <c r="B448" s="6"/>
      <c r="C448" s="6"/>
      <c r="D448" s="6"/>
      <c r="E448" s="6"/>
      <c r="F448" s="6" t="s">
        <v>555</v>
      </c>
      <c r="G448" s="6" t="s">
        <v>585</v>
      </c>
      <c r="H448" s="6">
        <v>14</v>
      </c>
      <c r="I448" s="6"/>
      <c r="J448" s="7" t="s">
        <v>21</v>
      </c>
      <c r="K448" s="6"/>
      <c r="L448" s="6"/>
      <c r="M448" s="6"/>
      <c r="N448" s="6"/>
      <c r="O448" s="6"/>
    </row>
    <row r="449" spans="2:15">
      <c r="B449" s="6">
        <v>66</v>
      </c>
      <c r="C449" s="6" t="s">
        <v>586</v>
      </c>
      <c r="D449" s="6"/>
      <c r="E449" s="6"/>
      <c r="F449" s="6" t="s">
        <v>555</v>
      </c>
      <c r="G449" s="6" t="s">
        <v>587</v>
      </c>
      <c r="H449" s="6">
        <v>24</v>
      </c>
      <c r="I449" s="6"/>
      <c r="J449" s="7" t="s">
        <v>21</v>
      </c>
      <c r="K449" s="6"/>
      <c r="L449" s="6"/>
      <c r="M449" s="6"/>
      <c r="N449" s="6"/>
      <c r="O449" s="6"/>
    </row>
    <row r="450" spans="2:15">
      <c r="B450" s="6"/>
      <c r="C450" s="6"/>
      <c r="D450" s="6"/>
      <c r="E450" s="6"/>
      <c r="F450" s="6" t="s">
        <v>555</v>
      </c>
      <c r="G450" s="6" t="s">
        <v>588</v>
      </c>
      <c r="H450" s="6">
        <v>10</v>
      </c>
      <c r="I450" s="6"/>
      <c r="J450" s="7" t="s">
        <v>21</v>
      </c>
      <c r="K450" s="6"/>
      <c r="L450" s="6"/>
      <c r="M450" s="6"/>
      <c r="N450" s="6"/>
      <c r="O450" s="6"/>
    </row>
    <row r="451" spans="2:15">
      <c r="B451" s="6"/>
      <c r="C451" s="6"/>
      <c r="D451" s="6"/>
      <c r="E451" s="6"/>
      <c r="F451" s="6" t="s">
        <v>555</v>
      </c>
      <c r="G451" s="6" t="s">
        <v>589</v>
      </c>
      <c r="H451" s="6">
        <v>14</v>
      </c>
      <c r="I451" s="6"/>
      <c r="J451" s="7" t="s">
        <v>21</v>
      </c>
      <c r="K451" s="6"/>
      <c r="L451" s="6"/>
      <c r="M451" s="6"/>
      <c r="N451" s="6"/>
      <c r="O451" s="6"/>
    </row>
    <row r="452" spans="2:15">
      <c r="B452" s="6"/>
      <c r="C452" s="6"/>
      <c r="D452" s="6"/>
      <c r="E452" s="6"/>
      <c r="F452" s="6" t="s">
        <v>555</v>
      </c>
      <c r="G452" s="6" t="s">
        <v>590</v>
      </c>
      <c r="H452" s="6">
        <v>6</v>
      </c>
      <c r="I452" s="6"/>
      <c r="J452" s="7" t="s">
        <v>21</v>
      </c>
      <c r="K452" s="6"/>
      <c r="L452" s="6"/>
      <c r="M452" s="6"/>
      <c r="N452" s="6"/>
      <c r="O452" s="6"/>
    </row>
    <row r="453" spans="2:15">
      <c r="B453" s="6">
        <v>67</v>
      </c>
      <c r="C453" s="6" t="s">
        <v>591</v>
      </c>
      <c r="D453" s="6"/>
      <c r="E453" s="6"/>
      <c r="F453" s="6" t="s">
        <v>555</v>
      </c>
      <c r="G453" s="6" t="s">
        <v>592</v>
      </c>
      <c r="H453" s="6">
        <v>8</v>
      </c>
      <c r="I453" s="6"/>
      <c r="J453" s="7" t="s">
        <v>21</v>
      </c>
      <c r="K453" s="6"/>
      <c r="L453" s="6"/>
      <c r="M453" s="6"/>
      <c r="N453" s="6"/>
      <c r="O453" s="6"/>
    </row>
    <row r="454" spans="2:15">
      <c r="B454" s="6"/>
      <c r="C454" s="6"/>
      <c r="D454" s="6"/>
      <c r="E454" s="6"/>
      <c r="F454" s="6" t="s">
        <v>555</v>
      </c>
      <c r="G454" s="6" t="s">
        <v>593</v>
      </c>
      <c r="H454" s="6">
        <v>8</v>
      </c>
      <c r="I454" s="6"/>
      <c r="J454" s="7" t="s">
        <v>21</v>
      </c>
      <c r="K454" s="6"/>
      <c r="L454" s="6"/>
      <c r="M454" s="6"/>
      <c r="N454" s="6"/>
      <c r="O454" s="6"/>
    </row>
    <row r="455" spans="2:15">
      <c r="B455" s="6"/>
      <c r="C455" s="6"/>
      <c r="D455" s="6"/>
      <c r="E455" s="6"/>
      <c r="F455" s="6" t="s">
        <v>555</v>
      </c>
      <c r="G455" s="6" t="s">
        <v>594</v>
      </c>
      <c r="H455" s="6">
        <v>18</v>
      </c>
      <c r="I455" s="6"/>
      <c r="J455" s="7" t="s">
        <v>21</v>
      </c>
      <c r="K455" s="6"/>
      <c r="L455" s="6"/>
      <c r="M455" s="6"/>
      <c r="N455" s="6"/>
      <c r="O455" s="6"/>
    </row>
    <row r="456" spans="2:15">
      <c r="B456" s="6">
        <v>68</v>
      </c>
      <c r="C456" s="6" t="s">
        <v>595</v>
      </c>
      <c r="D456" s="6"/>
      <c r="E456" s="6"/>
      <c r="F456" s="6" t="s">
        <v>555</v>
      </c>
      <c r="G456" s="6" t="s">
        <v>596</v>
      </c>
      <c r="H456" s="6">
        <v>26</v>
      </c>
      <c r="I456" s="6"/>
      <c r="J456" s="7" t="s">
        <v>21</v>
      </c>
      <c r="K456" s="6"/>
      <c r="L456" s="6"/>
      <c r="M456" s="6"/>
      <c r="N456" s="6"/>
      <c r="O456" s="6"/>
    </row>
    <row r="457" spans="2:15">
      <c r="B457" s="6"/>
      <c r="C457" s="6"/>
      <c r="D457" s="6"/>
      <c r="E457" s="6"/>
      <c r="F457" s="6" t="s">
        <v>555</v>
      </c>
      <c r="G457" s="6" t="s">
        <v>597</v>
      </c>
      <c r="H457" s="6">
        <v>4</v>
      </c>
      <c r="I457" s="6"/>
      <c r="J457" s="7" t="s">
        <v>21</v>
      </c>
      <c r="K457" s="6"/>
      <c r="L457" s="6"/>
      <c r="M457" s="6"/>
      <c r="N457" s="6"/>
      <c r="O457" s="6"/>
    </row>
    <row r="458" spans="2:15">
      <c r="B458" s="6"/>
      <c r="C458" s="6"/>
      <c r="D458" s="6"/>
      <c r="E458" s="6"/>
      <c r="F458" s="6" t="s">
        <v>555</v>
      </c>
      <c r="G458" s="6" t="s">
        <v>598</v>
      </c>
      <c r="H458" s="6">
        <v>5</v>
      </c>
      <c r="I458" s="6"/>
      <c r="J458" s="7" t="s">
        <v>21</v>
      </c>
      <c r="K458" s="6"/>
      <c r="L458" s="6"/>
      <c r="M458" s="6"/>
      <c r="N458" s="6"/>
      <c r="O458" s="6"/>
    </row>
    <row r="459" spans="2:15">
      <c r="B459" s="6"/>
      <c r="C459" s="6"/>
      <c r="D459" s="6"/>
      <c r="E459" s="6"/>
      <c r="F459" s="6" t="s">
        <v>555</v>
      </c>
      <c r="G459" s="6" t="s">
        <v>599</v>
      </c>
      <c r="H459" s="6">
        <v>4</v>
      </c>
      <c r="I459" s="6"/>
      <c r="J459" s="7" t="s">
        <v>21</v>
      </c>
      <c r="K459" s="6"/>
      <c r="L459" s="6"/>
      <c r="M459" s="6"/>
      <c r="N459" s="6"/>
      <c r="O459" s="6"/>
    </row>
    <row r="460" spans="2:15">
      <c r="B460" s="6">
        <v>69</v>
      </c>
      <c r="C460" s="6" t="s">
        <v>600</v>
      </c>
      <c r="D460" s="6"/>
      <c r="E460" s="6"/>
      <c r="F460" s="6" t="s">
        <v>555</v>
      </c>
      <c r="G460" s="6" t="s">
        <v>560</v>
      </c>
      <c r="H460" s="6">
        <v>12</v>
      </c>
      <c r="I460" s="6"/>
      <c r="J460" s="7" t="s">
        <v>21</v>
      </c>
      <c r="K460" s="6"/>
      <c r="L460" s="6"/>
      <c r="M460" s="6"/>
      <c r="N460" s="6"/>
      <c r="O460" s="6"/>
    </row>
    <row r="461" spans="2:15">
      <c r="B461" s="6"/>
      <c r="C461" s="6"/>
      <c r="D461" s="6"/>
      <c r="E461" s="6"/>
      <c r="F461" s="6" t="s">
        <v>555</v>
      </c>
      <c r="G461" s="6" t="s">
        <v>561</v>
      </c>
      <c r="H461" s="6">
        <v>16</v>
      </c>
      <c r="I461" s="6"/>
      <c r="J461" s="7" t="s">
        <v>21</v>
      </c>
      <c r="K461" s="6"/>
      <c r="L461" s="6"/>
      <c r="M461" s="6"/>
      <c r="N461" s="6"/>
      <c r="O461" s="6"/>
    </row>
    <row r="462" spans="2:15">
      <c r="B462" s="6"/>
      <c r="C462" s="6"/>
      <c r="D462" s="6"/>
      <c r="E462" s="6"/>
      <c r="F462" s="6" t="s">
        <v>555</v>
      </c>
      <c r="G462" s="6" t="s">
        <v>562</v>
      </c>
      <c r="H462" s="6">
        <v>10</v>
      </c>
      <c r="I462" s="6"/>
      <c r="J462" s="7" t="s">
        <v>21</v>
      </c>
      <c r="K462" s="6"/>
      <c r="L462" s="6"/>
      <c r="M462" s="6"/>
      <c r="N462" s="6"/>
      <c r="O462" s="6"/>
    </row>
    <row r="463" spans="2:15">
      <c r="B463" s="6"/>
      <c r="C463" s="6"/>
      <c r="D463" s="6"/>
      <c r="E463" s="6"/>
      <c r="F463" s="6" t="s">
        <v>555</v>
      </c>
      <c r="G463" s="6" t="s">
        <v>563</v>
      </c>
      <c r="H463" s="6">
        <v>9</v>
      </c>
      <c r="I463" s="6"/>
      <c r="J463" s="7" t="s">
        <v>21</v>
      </c>
      <c r="K463" s="6"/>
      <c r="L463" s="6"/>
      <c r="M463" s="6"/>
      <c r="N463" s="6"/>
      <c r="O463" s="6"/>
    </row>
    <row r="464" spans="2:15">
      <c r="B464" s="6">
        <v>70</v>
      </c>
      <c r="C464" s="6" t="s">
        <v>601</v>
      </c>
      <c r="D464" s="6"/>
      <c r="E464" s="6"/>
      <c r="F464" s="6" t="s">
        <v>555</v>
      </c>
      <c r="G464" s="6" t="s">
        <v>602</v>
      </c>
      <c r="H464" s="6">
        <v>62</v>
      </c>
      <c r="I464" s="6"/>
      <c r="J464" s="7" t="s">
        <v>21</v>
      </c>
      <c r="K464" s="6"/>
      <c r="L464" s="6"/>
      <c r="M464" s="6"/>
      <c r="N464" s="6"/>
      <c r="O464" s="6"/>
    </row>
    <row r="465" spans="2:15">
      <c r="B465" s="6">
        <v>71</v>
      </c>
      <c r="C465" s="6" t="s">
        <v>603</v>
      </c>
      <c r="D465" s="6"/>
      <c r="E465" s="6"/>
      <c r="F465" s="6" t="s">
        <v>555</v>
      </c>
      <c r="G465" s="6" t="s">
        <v>604</v>
      </c>
      <c r="H465" s="6">
        <v>5</v>
      </c>
      <c r="I465" s="6"/>
      <c r="J465" s="7" t="s">
        <v>21</v>
      </c>
      <c r="K465" s="6"/>
      <c r="L465" s="6"/>
      <c r="M465" s="6"/>
      <c r="N465" s="6"/>
      <c r="O465" s="6"/>
    </row>
    <row r="466" spans="2:15">
      <c r="B466" s="6"/>
      <c r="C466" s="6"/>
      <c r="D466" s="6"/>
      <c r="E466" s="6"/>
      <c r="F466" s="6" t="s">
        <v>555</v>
      </c>
      <c r="G466" s="6" t="s">
        <v>605</v>
      </c>
      <c r="H466" s="6">
        <v>23</v>
      </c>
      <c r="I466" s="6"/>
      <c r="J466" s="7" t="s">
        <v>21</v>
      </c>
      <c r="K466" s="6"/>
      <c r="L466" s="6"/>
      <c r="M466" s="6"/>
      <c r="N466" s="6"/>
      <c r="O466" s="6"/>
    </row>
    <row r="467" spans="2:15">
      <c r="B467" s="6"/>
      <c r="C467" s="6"/>
      <c r="D467" s="6"/>
      <c r="E467" s="6"/>
      <c r="F467" s="6" t="s">
        <v>555</v>
      </c>
      <c r="G467" s="6" t="s">
        <v>606</v>
      </c>
      <c r="H467" s="6">
        <v>5</v>
      </c>
      <c r="I467" s="6"/>
      <c r="J467" s="7" t="s">
        <v>21</v>
      </c>
      <c r="K467" s="6"/>
      <c r="L467" s="6"/>
      <c r="M467" s="6"/>
      <c r="N467" s="6"/>
      <c r="O467" s="6"/>
    </row>
    <row r="468" spans="2:15">
      <c r="B468" s="6"/>
      <c r="C468" s="6"/>
      <c r="D468" s="6"/>
      <c r="E468" s="6"/>
      <c r="F468" s="6" t="s">
        <v>555</v>
      </c>
      <c r="G468" s="6" t="s">
        <v>607</v>
      </c>
      <c r="H468" s="6">
        <v>3</v>
      </c>
      <c r="I468" s="6"/>
      <c r="J468" s="7" t="s">
        <v>21</v>
      </c>
      <c r="K468" s="6"/>
      <c r="L468" s="6"/>
      <c r="M468" s="6"/>
      <c r="N468" s="6"/>
      <c r="O468" s="6"/>
    </row>
    <row r="469" spans="2:15">
      <c r="B469" s="6"/>
      <c r="C469" s="6"/>
      <c r="D469" s="6"/>
      <c r="E469" s="6"/>
      <c r="F469" s="6" t="s">
        <v>555</v>
      </c>
      <c r="G469" s="6" t="s">
        <v>608</v>
      </c>
      <c r="H469" s="6">
        <v>5</v>
      </c>
      <c r="I469" s="6"/>
      <c r="J469" s="7" t="s">
        <v>21</v>
      </c>
      <c r="K469" s="6"/>
      <c r="L469" s="6"/>
      <c r="M469" s="6"/>
      <c r="N469" s="6"/>
      <c r="O469" s="6"/>
    </row>
    <row r="470" spans="2:15">
      <c r="B470" s="6">
        <v>72</v>
      </c>
      <c r="C470" s="6" t="s">
        <v>609</v>
      </c>
      <c r="D470" s="6"/>
      <c r="E470" s="6"/>
      <c r="F470" s="6" t="s">
        <v>555</v>
      </c>
      <c r="G470" s="6" t="s">
        <v>610</v>
      </c>
      <c r="H470" s="6">
        <v>8</v>
      </c>
      <c r="I470" s="6"/>
      <c r="J470" s="7" t="s">
        <v>21</v>
      </c>
      <c r="K470" s="6"/>
      <c r="L470" s="6"/>
      <c r="M470" s="6"/>
      <c r="N470" s="6"/>
      <c r="O470" s="6"/>
    </row>
    <row r="471" spans="2:15">
      <c r="B471" s="6"/>
      <c r="C471" s="6"/>
      <c r="D471" s="6"/>
      <c r="E471" s="6"/>
      <c r="F471" s="6" t="s">
        <v>555</v>
      </c>
      <c r="G471" s="6" t="s">
        <v>611</v>
      </c>
      <c r="H471" s="6">
        <v>6</v>
      </c>
      <c r="I471" s="6"/>
      <c r="J471" s="7" t="s">
        <v>21</v>
      </c>
      <c r="K471" s="6"/>
      <c r="L471" s="6"/>
      <c r="M471" s="6"/>
      <c r="N471" s="6"/>
      <c r="O471" s="6"/>
    </row>
    <row r="472" spans="2:15">
      <c r="B472" s="6"/>
      <c r="C472" s="6"/>
      <c r="D472" s="6"/>
      <c r="E472" s="6"/>
      <c r="F472" s="6" t="s">
        <v>555</v>
      </c>
      <c r="G472" s="6" t="s">
        <v>612</v>
      </c>
      <c r="H472" s="6">
        <v>2</v>
      </c>
      <c r="I472" s="6"/>
      <c r="J472" s="7" t="s">
        <v>21</v>
      </c>
      <c r="K472" s="6"/>
      <c r="L472" s="6"/>
      <c r="M472" s="6"/>
      <c r="N472" s="6"/>
      <c r="O472" s="6"/>
    </row>
    <row r="473" spans="2:15">
      <c r="B473" s="6">
        <v>73</v>
      </c>
      <c r="C473" s="6" t="s">
        <v>613</v>
      </c>
      <c r="D473" s="6"/>
      <c r="E473" s="6"/>
      <c r="F473" s="6" t="s">
        <v>555</v>
      </c>
      <c r="G473" s="6" t="s">
        <v>614</v>
      </c>
      <c r="H473" s="6">
        <v>4</v>
      </c>
      <c r="I473" s="6"/>
      <c r="J473" s="7" t="s">
        <v>21</v>
      </c>
      <c r="K473" s="6"/>
      <c r="L473" s="6"/>
      <c r="M473" s="6"/>
      <c r="N473" s="6"/>
      <c r="O473" s="6"/>
    </row>
    <row r="474" spans="2:15">
      <c r="B474" s="6"/>
      <c r="C474" s="6"/>
      <c r="D474" s="6"/>
      <c r="E474" s="6"/>
      <c r="F474" s="6" t="s">
        <v>555</v>
      </c>
      <c r="G474" s="6" t="s">
        <v>615</v>
      </c>
      <c r="H474" s="6">
        <v>1</v>
      </c>
      <c r="I474" s="6"/>
      <c r="J474" s="7" t="s">
        <v>21</v>
      </c>
      <c r="K474" s="6"/>
      <c r="L474" s="6"/>
      <c r="M474" s="6"/>
      <c r="N474" s="6"/>
      <c r="O474" s="6"/>
    </row>
    <row r="475" spans="2:15">
      <c r="B475" s="6"/>
      <c r="C475" s="6"/>
      <c r="D475" s="6"/>
      <c r="E475" s="6"/>
      <c r="F475" s="6" t="s">
        <v>555</v>
      </c>
      <c r="G475" s="6" t="s">
        <v>616</v>
      </c>
      <c r="H475" s="6">
        <v>2</v>
      </c>
      <c r="I475" s="6"/>
      <c r="J475" s="7" t="s">
        <v>21</v>
      </c>
      <c r="K475" s="6"/>
      <c r="L475" s="6"/>
      <c r="M475" s="6"/>
      <c r="N475" s="6"/>
      <c r="O475" s="6"/>
    </row>
    <row r="476" spans="2:15">
      <c r="B476" s="6">
        <v>74</v>
      </c>
      <c r="C476" s="6" t="s">
        <v>617</v>
      </c>
      <c r="D476" s="6"/>
      <c r="E476" s="6"/>
      <c r="F476" s="6" t="s">
        <v>555</v>
      </c>
      <c r="G476" s="6" t="s">
        <v>618</v>
      </c>
      <c r="H476" s="6">
        <v>3</v>
      </c>
      <c r="I476" s="6"/>
      <c r="J476" s="7" t="s">
        <v>21</v>
      </c>
      <c r="K476" s="6"/>
      <c r="L476" s="6"/>
      <c r="M476" s="6"/>
      <c r="N476" s="6"/>
      <c r="O476" s="6"/>
    </row>
    <row r="477" spans="2:15">
      <c r="B477" s="6"/>
      <c r="C477" s="6"/>
      <c r="D477" s="6"/>
      <c r="E477" s="6"/>
      <c r="F477" s="6" t="s">
        <v>555</v>
      </c>
      <c r="G477" s="6" t="s">
        <v>619</v>
      </c>
      <c r="H477" s="6">
        <v>15</v>
      </c>
      <c r="I477" s="6"/>
      <c r="J477" s="7" t="s">
        <v>21</v>
      </c>
      <c r="K477" s="6"/>
      <c r="L477" s="6"/>
      <c r="M477" s="6"/>
      <c r="N477" s="6"/>
      <c r="O477" s="6"/>
    </row>
    <row r="478" spans="2:15">
      <c r="B478" s="6">
        <v>75</v>
      </c>
      <c r="C478" s="6" t="s">
        <v>620</v>
      </c>
      <c r="D478" s="6"/>
      <c r="E478" s="6"/>
      <c r="F478" s="6" t="s">
        <v>555</v>
      </c>
      <c r="G478" s="6" t="s">
        <v>621</v>
      </c>
      <c r="H478" s="6">
        <v>14</v>
      </c>
      <c r="I478" s="6"/>
      <c r="J478" s="7" t="s">
        <v>21</v>
      </c>
      <c r="K478" s="6"/>
      <c r="L478" s="6"/>
      <c r="M478" s="6"/>
      <c r="N478" s="6"/>
      <c r="O478" s="6"/>
    </row>
    <row r="479" spans="2:15">
      <c r="B479" s="6"/>
      <c r="C479" s="6"/>
      <c r="D479" s="6"/>
      <c r="E479" s="6"/>
      <c r="F479" s="6" t="s">
        <v>555</v>
      </c>
      <c r="G479" s="6" t="s">
        <v>622</v>
      </c>
      <c r="H479" s="6">
        <v>15</v>
      </c>
      <c r="I479" s="6"/>
      <c r="J479" s="7" t="s">
        <v>21</v>
      </c>
      <c r="K479" s="6"/>
      <c r="L479" s="6"/>
      <c r="M479" s="6"/>
      <c r="N479" s="6"/>
      <c r="O479" s="6"/>
    </row>
    <row r="480" spans="2:15">
      <c r="B480" s="6">
        <v>76</v>
      </c>
      <c r="C480" s="6" t="s">
        <v>623</v>
      </c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 t="s">
        <v>624</v>
      </c>
      <c r="O480" s="6"/>
    </row>
    <row r="481" spans="2:15">
      <c r="B481" s="6">
        <v>77</v>
      </c>
      <c r="C481" s="6" t="s">
        <v>625</v>
      </c>
      <c r="D481" s="6"/>
      <c r="E481" s="6"/>
      <c r="F481" s="6" t="s">
        <v>555</v>
      </c>
      <c r="G481" s="6" t="s">
        <v>626</v>
      </c>
      <c r="H481" s="6">
        <v>10</v>
      </c>
      <c r="I481" s="6"/>
      <c r="J481" s="7" t="s">
        <v>21</v>
      </c>
      <c r="K481" s="6"/>
      <c r="L481" s="6"/>
      <c r="M481" s="6"/>
      <c r="N481" s="6"/>
      <c r="O481" s="6"/>
    </row>
    <row r="482" spans="2:15">
      <c r="B482" s="6"/>
      <c r="C482" s="6"/>
      <c r="D482" s="6"/>
      <c r="E482" s="6"/>
      <c r="F482" s="6" t="s">
        <v>555</v>
      </c>
      <c r="G482" s="6" t="s">
        <v>627</v>
      </c>
      <c r="H482" s="6">
        <v>17</v>
      </c>
      <c r="I482" s="6"/>
      <c r="J482" s="7" t="s">
        <v>21</v>
      </c>
      <c r="K482" s="6"/>
      <c r="L482" s="6"/>
      <c r="M482" s="6"/>
      <c r="N482" s="6"/>
      <c r="O482" s="6"/>
    </row>
    <row r="483" spans="2:15">
      <c r="B483" s="6"/>
      <c r="C483" s="6"/>
      <c r="D483" s="6"/>
      <c r="E483" s="6"/>
      <c r="F483" s="6" t="s">
        <v>555</v>
      </c>
      <c r="G483" s="6" t="s">
        <v>628</v>
      </c>
      <c r="H483" s="6">
        <v>11</v>
      </c>
      <c r="I483" s="6"/>
      <c r="J483" s="7" t="s">
        <v>21</v>
      </c>
      <c r="K483" s="6"/>
      <c r="L483" s="6"/>
      <c r="M483" s="6"/>
      <c r="N483" s="6"/>
      <c r="O483" s="6"/>
    </row>
    <row r="484" spans="2:15">
      <c r="B484" s="6">
        <v>78</v>
      </c>
      <c r="C484" s="6" t="s">
        <v>629</v>
      </c>
      <c r="D484" s="6"/>
      <c r="E484" s="6"/>
      <c r="F484" s="6" t="s">
        <v>555</v>
      </c>
      <c r="G484" s="6" t="s">
        <v>630</v>
      </c>
      <c r="H484" s="6">
        <v>13</v>
      </c>
      <c r="I484" s="6"/>
      <c r="J484" s="7" t="s">
        <v>21</v>
      </c>
      <c r="K484" s="6"/>
      <c r="L484" s="6"/>
      <c r="M484" s="6"/>
      <c r="N484" s="6"/>
      <c r="O484" s="6"/>
    </row>
    <row r="485" spans="2:15">
      <c r="B485" s="6"/>
      <c r="C485" s="6"/>
      <c r="D485" s="6"/>
      <c r="E485" s="6"/>
      <c r="F485" s="6" t="s">
        <v>555</v>
      </c>
      <c r="G485" s="6" t="s">
        <v>631</v>
      </c>
      <c r="H485" s="6">
        <v>5</v>
      </c>
      <c r="I485" s="6"/>
      <c r="J485" s="7" t="s">
        <v>21</v>
      </c>
      <c r="K485" s="6"/>
      <c r="L485" s="6"/>
      <c r="M485" s="6"/>
      <c r="N485" s="6"/>
      <c r="O485" s="6"/>
    </row>
    <row r="486" spans="2:15">
      <c r="B486" s="6"/>
      <c r="C486" s="6"/>
      <c r="D486" s="6"/>
      <c r="E486" s="6"/>
      <c r="F486" s="6" t="s">
        <v>555</v>
      </c>
      <c r="G486" s="6" t="s">
        <v>632</v>
      </c>
      <c r="H486" s="6">
        <v>20</v>
      </c>
      <c r="I486" s="6"/>
      <c r="J486" s="7" t="s">
        <v>21</v>
      </c>
      <c r="K486" s="6"/>
      <c r="L486" s="6"/>
      <c r="M486" s="6"/>
      <c r="N486" s="6"/>
      <c r="O486" s="6"/>
    </row>
    <row r="487" spans="2:15">
      <c r="B487" s="6">
        <v>79</v>
      </c>
      <c r="C487" s="6" t="s">
        <v>633</v>
      </c>
      <c r="D487" s="6"/>
      <c r="E487" s="6"/>
      <c r="F487" s="6" t="s">
        <v>555</v>
      </c>
      <c r="G487" s="6" t="s">
        <v>634</v>
      </c>
      <c r="H487" s="6">
        <v>15</v>
      </c>
      <c r="I487" s="6"/>
      <c r="J487" s="7" t="s">
        <v>21</v>
      </c>
      <c r="K487" s="6"/>
      <c r="L487" s="6"/>
      <c r="M487" s="6"/>
      <c r="N487" s="6"/>
      <c r="O487" s="6"/>
    </row>
    <row r="488" spans="2:15">
      <c r="B488" s="6"/>
      <c r="C488" s="6"/>
      <c r="D488" s="6"/>
      <c r="E488" s="6"/>
      <c r="F488" s="6" t="s">
        <v>555</v>
      </c>
      <c r="G488" s="6" t="s">
        <v>635</v>
      </c>
      <c r="H488" s="6">
        <v>10</v>
      </c>
      <c r="I488" s="6"/>
      <c r="J488" s="7" t="s">
        <v>21</v>
      </c>
      <c r="K488" s="6"/>
      <c r="L488" s="6"/>
      <c r="M488" s="6"/>
      <c r="N488" s="6"/>
      <c r="O488" s="6"/>
    </row>
    <row r="489" spans="2:15">
      <c r="B489" s="6"/>
      <c r="C489" s="6"/>
      <c r="D489" s="6"/>
      <c r="E489" s="6"/>
      <c r="F489" s="6" t="s">
        <v>555</v>
      </c>
      <c r="G489" s="6" t="s">
        <v>636</v>
      </c>
      <c r="H489" s="6">
        <v>3</v>
      </c>
      <c r="I489" s="6"/>
      <c r="J489" s="7" t="s">
        <v>21</v>
      </c>
      <c r="K489" s="6"/>
      <c r="L489" s="6"/>
      <c r="M489" s="6"/>
      <c r="N489" s="6"/>
      <c r="O489" s="6"/>
    </row>
    <row r="490" spans="2:15">
      <c r="B490" s="6">
        <v>80</v>
      </c>
      <c r="C490" s="6" t="s">
        <v>637</v>
      </c>
      <c r="D490" s="6"/>
      <c r="E490" s="6"/>
      <c r="F490" s="6" t="s">
        <v>555</v>
      </c>
      <c r="G490" s="6" t="s">
        <v>638</v>
      </c>
      <c r="H490" s="6">
        <v>20</v>
      </c>
      <c r="I490" s="6"/>
      <c r="J490" s="7" t="s">
        <v>21</v>
      </c>
      <c r="K490" s="6"/>
      <c r="L490" s="6"/>
      <c r="M490" s="6"/>
      <c r="N490" s="6"/>
      <c r="O490" s="6"/>
    </row>
    <row r="491" spans="2:15">
      <c r="B491" s="6"/>
      <c r="C491" s="6"/>
      <c r="D491" s="6"/>
      <c r="E491" s="6"/>
      <c r="F491" s="6" t="s">
        <v>555</v>
      </c>
      <c r="G491" s="6" t="s">
        <v>639</v>
      </c>
      <c r="H491" s="6">
        <v>20</v>
      </c>
      <c r="I491" s="6"/>
      <c r="J491" s="7" t="s">
        <v>21</v>
      </c>
      <c r="K491" s="6"/>
      <c r="L491" s="6"/>
      <c r="M491" s="6"/>
      <c r="N491" s="6"/>
      <c r="O491" s="6"/>
    </row>
    <row r="492" spans="2:15">
      <c r="B492" s="6"/>
      <c r="C492" s="6"/>
      <c r="D492" s="6"/>
      <c r="E492" s="6"/>
      <c r="F492" s="6" t="s">
        <v>555</v>
      </c>
      <c r="G492" s="6" t="s">
        <v>640</v>
      </c>
      <c r="H492" s="6">
        <v>3</v>
      </c>
      <c r="I492" s="6"/>
      <c r="J492" s="7" t="s">
        <v>21</v>
      </c>
      <c r="K492" s="6"/>
      <c r="L492" s="6"/>
      <c r="M492" s="6"/>
      <c r="N492" s="6"/>
      <c r="O492" s="6"/>
    </row>
    <row r="493" spans="2:15">
      <c r="B493" s="6">
        <v>81</v>
      </c>
      <c r="C493" s="6" t="s">
        <v>641</v>
      </c>
      <c r="D493" s="6"/>
      <c r="E493" s="6"/>
      <c r="F493" s="6" t="s">
        <v>555</v>
      </c>
      <c r="G493" s="6" t="s">
        <v>642</v>
      </c>
      <c r="H493" s="6">
        <v>20</v>
      </c>
      <c r="I493" s="6"/>
      <c r="J493" s="7" t="s">
        <v>21</v>
      </c>
      <c r="K493" s="6"/>
      <c r="L493" s="6"/>
      <c r="M493" s="6"/>
      <c r="N493" s="6"/>
      <c r="O493" s="6"/>
    </row>
    <row r="494" spans="2:15">
      <c r="B494" s="6"/>
      <c r="C494" s="6"/>
      <c r="D494" s="6"/>
      <c r="E494" s="6"/>
      <c r="F494" s="6" t="s">
        <v>555</v>
      </c>
      <c r="G494" s="6" t="s">
        <v>643</v>
      </c>
      <c r="H494" s="6">
        <v>14</v>
      </c>
      <c r="I494" s="6"/>
      <c r="J494" s="7" t="s">
        <v>21</v>
      </c>
      <c r="K494" s="6"/>
      <c r="L494" s="6"/>
      <c r="M494" s="6"/>
      <c r="N494" s="6"/>
      <c r="O494" s="6"/>
    </row>
    <row r="495" spans="2:15">
      <c r="B495" s="6"/>
      <c r="C495" s="6"/>
      <c r="D495" s="6"/>
      <c r="E495" s="6"/>
      <c r="F495" s="6" t="s">
        <v>555</v>
      </c>
      <c r="G495" s="6" t="s">
        <v>644</v>
      </c>
      <c r="H495" s="6">
        <v>5</v>
      </c>
      <c r="I495" s="6"/>
      <c r="J495" s="7" t="s">
        <v>21</v>
      </c>
      <c r="K495" s="6"/>
      <c r="L495" s="6"/>
      <c r="M495" s="6"/>
      <c r="N495" s="6"/>
      <c r="O495" s="6"/>
    </row>
    <row r="496" spans="2:15">
      <c r="B496" s="6">
        <v>82</v>
      </c>
      <c r="C496" s="6" t="s">
        <v>645</v>
      </c>
      <c r="D496" s="6"/>
      <c r="E496" s="6"/>
      <c r="F496" s="6" t="s">
        <v>555</v>
      </c>
      <c r="G496" s="6" t="s">
        <v>646</v>
      </c>
      <c r="H496" s="6">
        <v>17</v>
      </c>
      <c r="I496" s="6"/>
      <c r="J496" s="7" t="s">
        <v>21</v>
      </c>
      <c r="K496" s="6"/>
      <c r="L496" s="6"/>
      <c r="M496" s="6"/>
      <c r="N496" s="6"/>
      <c r="O496" s="6"/>
    </row>
    <row r="497" spans="2:15">
      <c r="B497" s="6"/>
      <c r="C497" s="6"/>
      <c r="D497" s="6"/>
      <c r="E497" s="6"/>
      <c r="F497" s="6" t="s">
        <v>555</v>
      </c>
      <c r="G497" s="6" t="s">
        <v>647</v>
      </c>
      <c r="H497" s="6">
        <v>2</v>
      </c>
      <c r="I497" s="6"/>
      <c r="J497" s="7" t="s">
        <v>21</v>
      </c>
      <c r="K497" s="6"/>
      <c r="L497" s="6"/>
      <c r="M497" s="6"/>
      <c r="N497" s="6"/>
      <c r="O497" s="6"/>
    </row>
    <row r="498" spans="2:15">
      <c r="B498" s="6"/>
      <c r="C498" s="6"/>
      <c r="D498" s="6"/>
      <c r="E498" s="6"/>
      <c r="F498" s="6" t="s">
        <v>555</v>
      </c>
      <c r="G498" s="6" t="s">
        <v>648</v>
      </c>
      <c r="H498" s="6">
        <v>9</v>
      </c>
      <c r="I498" s="6"/>
      <c r="J498" s="7" t="s">
        <v>21</v>
      </c>
      <c r="K498" s="6"/>
      <c r="L498" s="6"/>
      <c r="M498" s="6"/>
      <c r="N498" s="6"/>
      <c r="O498" s="6"/>
    </row>
    <row r="499" spans="2:15">
      <c r="B499" s="6"/>
      <c r="C499" s="6"/>
      <c r="D499" s="6"/>
      <c r="E499" s="6"/>
      <c r="F499" s="6" t="s">
        <v>555</v>
      </c>
      <c r="G499" s="6" t="s">
        <v>649</v>
      </c>
      <c r="H499" s="6">
        <v>9</v>
      </c>
      <c r="I499" s="6"/>
      <c r="J499" s="7" t="s">
        <v>21</v>
      </c>
      <c r="K499" s="6"/>
      <c r="L499" s="6"/>
      <c r="M499" s="6"/>
      <c r="N499" s="6"/>
      <c r="O499" s="6"/>
    </row>
    <row r="500" spans="2:15">
      <c r="B500" s="6">
        <v>83</v>
      </c>
      <c r="C500" s="6" t="s">
        <v>650</v>
      </c>
      <c r="D500" s="6"/>
      <c r="E500" s="6"/>
      <c r="F500" s="6" t="s">
        <v>555</v>
      </c>
      <c r="G500" s="6" t="s">
        <v>651</v>
      </c>
      <c r="H500" s="6">
        <v>6</v>
      </c>
      <c r="I500" s="6"/>
      <c r="J500" s="7" t="s">
        <v>21</v>
      </c>
      <c r="K500" s="6"/>
      <c r="L500" s="6"/>
      <c r="M500" s="6"/>
      <c r="N500" s="6"/>
      <c r="O500" s="6"/>
    </row>
    <row r="501" spans="2:15">
      <c r="B501" s="6"/>
      <c r="C501" s="6"/>
      <c r="D501" s="6"/>
      <c r="E501" s="6"/>
      <c r="F501" s="6" t="s">
        <v>555</v>
      </c>
      <c r="G501" s="6" t="s">
        <v>652</v>
      </c>
      <c r="H501" s="6">
        <v>18</v>
      </c>
      <c r="I501" s="6"/>
      <c r="J501" s="7" t="s">
        <v>21</v>
      </c>
      <c r="K501" s="6"/>
      <c r="L501" s="6"/>
      <c r="M501" s="6"/>
      <c r="N501" s="6"/>
      <c r="O501" s="6"/>
    </row>
    <row r="502" spans="2:15">
      <c r="B502" s="6"/>
      <c r="C502" s="6"/>
      <c r="D502" s="6"/>
      <c r="E502" s="6"/>
      <c r="F502" s="6" t="s">
        <v>555</v>
      </c>
      <c r="G502" s="6" t="s">
        <v>653</v>
      </c>
      <c r="H502" s="6">
        <v>31</v>
      </c>
      <c r="I502" s="6"/>
      <c r="J502" s="7" t="s">
        <v>21</v>
      </c>
      <c r="K502" s="6"/>
      <c r="L502" s="6"/>
      <c r="M502" s="6"/>
      <c r="N502" s="6"/>
      <c r="O502" s="6"/>
    </row>
    <row r="503" spans="2:15">
      <c r="B503" s="6">
        <v>84</v>
      </c>
      <c r="C503" s="6" t="s">
        <v>654</v>
      </c>
      <c r="D503" s="6"/>
      <c r="E503" s="6"/>
      <c r="F503" s="6" t="s">
        <v>555</v>
      </c>
      <c r="G503" s="6" t="s">
        <v>655</v>
      </c>
      <c r="H503" s="6"/>
      <c r="I503" s="6"/>
      <c r="J503" s="7" t="s">
        <v>21</v>
      </c>
      <c r="K503" s="6"/>
      <c r="L503" s="6"/>
      <c r="M503" s="6"/>
      <c r="N503" s="6"/>
      <c r="O503" s="6"/>
    </row>
    <row r="504" spans="2:15">
      <c r="B504" s="6"/>
      <c r="C504" s="6"/>
      <c r="D504" s="6"/>
      <c r="E504" s="6"/>
      <c r="F504" s="6" t="s">
        <v>555</v>
      </c>
      <c r="G504" s="6" t="s">
        <v>656</v>
      </c>
      <c r="H504" s="6">
        <v>10</v>
      </c>
      <c r="I504" s="6"/>
      <c r="J504" s="7" t="s">
        <v>21</v>
      </c>
      <c r="K504" s="6"/>
      <c r="L504" s="6"/>
      <c r="M504" s="6"/>
      <c r="N504" s="6"/>
      <c r="O504" s="6"/>
    </row>
    <row r="505" spans="2:15">
      <c r="B505" s="6"/>
      <c r="C505" s="6"/>
      <c r="D505" s="6"/>
      <c r="E505" s="6"/>
      <c r="F505" s="6" t="s">
        <v>555</v>
      </c>
      <c r="G505" s="6" t="s">
        <v>648</v>
      </c>
      <c r="H505" s="6">
        <v>9</v>
      </c>
      <c r="I505" s="6"/>
      <c r="J505" s="7" t="s">
        <v>21</v>
      </c>
      <c r="K505" s="6"/>
      <c r="L505" s="6"/>
      <c r="M505" s="6"/>
      <c r="N505" s="6"/>
      <c r="O505" s="6"/>
    </row>
    <row r="506" spans="2:15">
      <c r="B506" s="6"/>
      <c r="C506" s="6"/>
      <c r="D506" s="6"/>
      <c r="E506" s="6"/>
      <c r="F506" s="6" t="s">
        <v>555</v>
      </c>
      <c r="G506" s="6" t="s">
        <v>657</v>
      </c>
      <c r="H506" s="6">
        <v>12</v>
      </c>
      <c r="I506" s="6"/>
      <c r="J506" s="7" t="s">
        <v>21</v>
      </c>
      <c r="K506" s="6"/>
      <c r="L506" s="6"/>
      <c r="M506" s="6"/>
      <c r="N506" s="6"/>
      <c r="O506" s="6"/>
    </row>
    <row r="507" spans="2:15">
      <c r="B507" s="6">
        <v>85</v>
      </c>
      <c r="C507" s="6" t="s">
        <v>658</v>
      </c>
      <c r="D507" s="6"/>
      <c r="E507" s="6"/>
      <c r="F507" s="6" t="s">
        <v>555</v>
      </c>
      <c r="G507" s="6" t="s">
        <v>659</v>
      </c>
      <c r="H507" s="6">
        <v>4</v>
      </c>
      <c r="I507" s="6"/>
      <c r="J507" s="7" t="s">
        <v>21</v>
      </c>
      <c r="K507" s="6"/>
      <c r="L507" s="6"/>
      <c r="M507" s="6"/>
      <c r="N507" s="6"/>
      <c r="O507" s="6"/>
    </row>
    <row r="508" spans="2:15">
      <c r="B508" s="6"/>
      <c r="C508" s="6"/>
      <c r="D508" s="6"/>
      <c r="E508" s="6"/>
      <c r="F508" s="6" t="s">
        <v>555</v>
      </c>
      <c r="G508" s="6" t="s">
        <v>660</v>
      </c>
      <c r="H508" s="6">
        <v>10</v>
      </c>
      <c r="I508" s="6"/>
      <c r="J508" s="7" t="s">
        <v>21</v>
      </c>
      <c r="K508" s="6"/>
      <c r="L508" s="6"/>
      <c r="M508" s="6"/>
      <c r="N508" s="6"/>
      <c r="O508" s="6"/>
    </row>
    <row r="509" spans="2:15">
      <c r="B509" s="6"/>
      <c r="C509" s="6"/>
      <c r="D509" s="6"/>
      <c r="E509" s="6"/>
      <c r="F509" s="6" t="s">
        <v>555</v>
      </c>
      <c r="G509" s="6" t="s">
        <v>661</v>
      </c>
      <c r="H509" s="6">
        <v>5</v>
      </c>
      <c r="I509" s="6"/>
      <c r="J509" s="7" t="s">
        <v>21</v>
      </c>
      <c r="K509" s="6"/>
      <c r="L509" s="6"/>
      <c r="M509" s="6"/>
      <c r="N509" s="6"/>
      <c r="O509" s="6"/>
    </row>
    <row r="510" spans="2:15">
      <c r="B510" s="6"/>
      <c r="C510" s="6"/>
      <c r="D510" s="6"/>
      <c r="E510" s="6"/>
      <c r="F510" s="6" t="s">
        <v>555</v>
      </c>
      <c r="G510" s="6" t="s">
        <v>662</v>
      </c>
      <c r="H510" s="6">
        <v>5</v>
      </c>
      <c r="I510" s="6"/>
      <c r="J510" s="7" t="s">
        <v>21</v>
      </c>
      <c r="K510" s="6"/>
      <c r="L510" s="6"/>
      <c r="M510" s="6"/>
      <c r="N510" s="6"/>
      <c r="O510" s="6"/>
    </row>
    <row r="511" spans="2:15">
      <c r="B511" s="6"/>
      <c r="C511" s="6"/>
      <c r="D511" s="6"/>
      <c r="E511" s="6"/>
      <c r="F511" s="6" t="s">
        <v>555</v>
      </c>
      <c r="G511" s="6" t="s">
        <v>663</v>
      </c>
      <c r="H511" s="6">
        <v>13</v>
      </c>
      <c r="I511" s="6"/>
      <c r="J511" s="7" t="s">
        <v>21</v>
      </c>
      <c r="K511" s="6"/>
      <c r="L511" s="6"/>
      <c r="M511" s="6"/>
      <c r="N511" s="6"/>
      <c r="O511" s="6"/>
    </row>
    <row r="512" spans="2:15">
      <c r="B512" s="6"/>
      <c r="C512" s="6"/>
      <c r="D512" s="6"/>
      <c r="E512" s="6"/>
      <c r="F512" s="6" t="s">
        <v>555</v>
      </c>
      <c r="G512" s="6" t="s">
        <v>664</v>
      </c>
      <c r="H512" s="6">
        <v>10</v>
      </c>
      <c r="I512" s="6"/>
      <c r="J512" s="7" t="s">
        <v>21</v>
      </c>
      <c r="K512" s="6"/>
      <c r="L512" s="6"/>
      <c r="M512" s="6"/>
      <c r="N512" s="6"/>
      <c r="O512" s="6"/>
    </row>
    <row r="513" spans="2:15">
      <c r="B513" s="6">
        <v>86</v>
      </c>
      <c r="C513" s="6" t="s">
        <v>665</v>
      </c>
      <c r="D513" s="6"/>
      <c r="E513" s="6"/>
      <c r="F513" s="6" t="s">
        <v>555</v>
      </c>
      <c r="G513" s="6" t="s">
        <v>666</v>
      </c>
      <c r="H513" s="6">
        <v>9</v>
      </c>
      <c r="I513" s="6"/>
      <c r="J513" s="7" t="s">
        <v>21</v>
      </c>
      <c r="K513" s="6"/>
      <c r="L513" s="6"/>
      <c r="M513" s="6"/>
      <c r="N513" s="6"/>
      <c r="O513" s="6"/>
    </row>
    <row r="514" spans="2:15">
      <c r="B514" s="6"/>
      <c r="C514" s="6"/>
      <c r="D514" s="6"/>
      <c r="E514" s="6"/>
      <c r="F514" s="6" t="s">
        <v>555</v>
      </c>
      <c r="G514" s="6" t="s">
        <v>667</v>
      </c>
      <c r="H514" s="6">
        <v>5</v>
      </c>
      <c r="I514" s="6"/>
      <c r="J514" s="7" t="s">
        <v>21</v>
      </c>
      <c r="K514" s="6"/>
      <c r="L514" s="6"/>
      <c r="M514" s="6"/>
      <c r="N514" s="6"/>
      <c r="O514" s="6"/>
    </row>
    <row r="515" spans="2:15">
      <c r="B515" s="6">
        <v>87</v>
      </c>
      <c r="C515" s="6" t="s">
        <v>668</v>
      </c>
      <c r="D515" s="6"/>
      <c r="E515" s="6"/>
      <c r="F515" s="6" t="s">
        <v>555</v>
      </c>
      <c r="G515" s="6" t="s">
        <v>669</v>
      </c>
      <c r="H515" s="6">
        <v>12</v>
      </c>
      <c r="I515" s="6"/>
      <c r="J515" s="7" t="s">
        <v>21</v>
      </c>
      <c r="K515" s="6"/>
      <c r="L515" s="6"/>
      <c r="M515" s="6"/>
      <c r="N515" s="6"/>
      <c r="O515" s="6"/>
    </row>
    <row r="516" spans="2:15">
      <c r="B516" s="6"/>
      <c r="C516" s="6"/>
      <c r="D516" s="6"/>
      <c r="E516" s="6"/>
      <c r="F516" s="6" t="s">
        <v>555</v>
      </c>
      <c r="G516" s="6" t="s">
        <v>670</v>
      </c>
      <c r="H516" s="6">
        <v>6</v>
      </c>
      <c r="I516" s="6"/>
      <c r="J516" s="7" t="s">
        <v>21</v>
      </c>
      <c r="K516" s="6"/>
      <c r="L516" s="6"/>
      <c r="M516" s="6"/>
      <c r="N516" s="6"/>
      <c r="O516" s="6"/>
    </row>
    <row r="517" spans="2:15">
      <c r="B517" s="6"/>
      <c r="C517" s="6"/>
      <c r="D517" s="6"/>
      <c r="E517" s="6"/>
      <c r="F517" s="6" t="s">
        <v>555</v>
      </c>
      <c r="G517" s="6" t="s">
        <v>671</v>
      </c>
      <c r="H517" s="6">
        <v>11</v>
      </c>
      <c r="I517" s="6"/>
      <c r="J517" s="7" t="s">
        <v>21</v>
      </c>
      <c r="K517" s="6"/>
      <c r="L517" s="6"/>
      <c r="M517" s="6"/>
      <c r="N517" s="6"/>
      <c r="O517" s="6"/>
    </row>
    <row r="518" spans="2:15">
      <c r="B518" s="6"/>
      <c r="C518" s="6"/>
      <c r="D518" s="6"/>
      <c r="E518" s="6"/>
      <c r="F518" s="6" t="s">
        <v>555</v>
      </c>
      <c r="G518" s="6" t="s">
        <v>672</v>
      </c>
      <c r="H518" s="6">
        <v>3</v>
      </c>
      <c r="I518" s="6"/>
      <c r="J518" s="7" t="s">
        <v>21</v>
      </c>
      <c r="K518" s="6"/>
      <c r="L518" s="6"/>
      <c r="M518" s="6"/>
      <c r="N518" s="6"/>
      <c r="O518" s="6"/>
    </row>
    <row r="519" spans="2:15">
      <c r="B519" s="6"/>
      <c r="C519" s="6"/>
      <c r="D519" s="6"/>
      <c r="E519" s="6"/>
      <c r="F519" s="6" t="s">
        <v>555</v>
      </c>
      <c r="G519" s="6" t="s">
        <v>673</v>
      </c>
      <c r="H519" s="6">
        <v>14</v>
      </c>
      <c r="I519" s="6"/>
      <c r="J519" s="7" t="s">
        <v>21</v>
      </c>
      <c r="K519" s="6"/>
      <c r="L519" s="6"/>
      <c r="M519" s="6"/>
      <c r="N519" s="6"/>
      <c r="O519" s="6"/>
    </row>
    <row r="520" spans="2:15">
      <c r="B520" s="6">
        <v>88</v>
      </c>
      <c r="C520" s="6" t="s">
        <v>674</v>
      </c>
      <c r="D520" s="6"/>
      <c r="E520" s="6"/>
      <c r="F520" s="6" t="s">
        <v>555</v>
      </c>
      <c r="G520" s="6" t="s">
        <v>675</v>
      </c>
      <c r="H520" s="6"/>
      <c r="I520" s="6"/>
      <c r="J520" s="7" t="s">
        <v>21</v>
      </c>
      <c r="K520" s="6"/>
      <c r="L520" s="6"/>
      <c r="M520" s="6"/>
      <c r="N520" s="6"/>
      <c r="O520" s="6"/>
    </row>
    <row r="521" spans="2:15">
      <c r="B521" s="6"/>
      <c r="C521" s="6"/>
      <c r="D521" s="6"/>
      <c r="E521" s="6"/>
      <c r="F521" s="6" t="s">
        <v>555</v>
      </c>
      <c r="G521" s="6" t="s">
        <v>676</v>
      </c>
      <c r="H521" s="6"/>
      <c r="I521" s="6"/>
      <c r="J521" s="7" t="s">
        <v>21</v>
      </c>
      <c r="K521" s="6"/>
      <c r="L521" s="6"/>
      <c r="M521" s="6"/>
      <c r="N521" s="6"/>
      <c r="O521" s="6"/>
    </row>
    <row r="522" spans="2:15">
      <c r="B522" s="6"/>
      <c r="C522" s="6"/>
      <c r="D522" s="6"/>
      <c r="E522" s="6"/>
      <c r="F522" s="6" t="s">
        <v>555</v>
      </c>
      <c r="G522" s="6" t="s">
        <v>677</v>
      </c>
      <c r="H522" s="6"/>
      <c r="I522" s="6"/>
      <c r="J522" s="7" t="s">
        <v>21</v>
      </c>
      <c r="K522" s="6"/>
      <c r="L522" s="6"/>
      <c r="M522" s="6"/>
      <c r="N522" s="6"/>
      <c r="O522" s="6"/>
    </row>
    <row r="523" spans="2:15">
      <c r="B523" s="6"/>
      <c r="C523" s="6"/>
      <c r="D523" s="6"/>
      <c r="E523" s="6"/>
      <c r="F523" s="6" t="s">
        <v>555</v>
      </c>
      <c r="G523" s="6" t="s">
        <v>678</v>
      </c>
      <c r="H523" s="6">
        <v>20</v>
      </c>
      <c r="I523" s="6"/>
      <c r="J523" s="7" t="s">
        <v>21</v>
      </c>
      <c r="K523" s="6"/>
      <c r="L523" s="6"/>
      <c r="M523" s="6"/>
      <c r="N523" s="6"/>
      <c r="O523" s="6"/>
    </row>
    <row r="524" spans="2:15">
      <c r="B524" s="6"/>
      <c r="C524" s="6"/>
      <c r="D524" s="6"/>
      <c r="E524" s="6"/>
      <c r="F524" s="6" t="s">
        <v>555</v>
      </c>
      <c r="G524" s="6" t="s">
        <v>679</v>
      </c>
      <c r="H524" s="6">
        <v>6</v>
      </c>
      <c r="I524" s="6"/>
      <c r="J524" s="7" t="s">
        <v>21</v>
      </c>
      <c r="K524" s="6"/>
      <c r="L524" s="6"/>
      <c r="M524" s="6"/>
      <c r="N524" s="6"/>
      <c r="O524" s="6"/>
    </row>
    <row r="525" spans="2:15">
      <c r="B525" s="6">
        <v>89</v>
      </c>
      <c r="C525" s="6" t="s">
        <v>680</v>
      </c>
      <c r="D525" s="6"/>
      <c r="E525" s="6"/>
      <c r="F525" s="6" t="s">
        <v>555</v>
      </c>
      <c r="G525" s="6" t="s">
        <v>681</v>
      </c>
      <c r="H525" s="6">
        <v>32</v>
      </c>
      <c r="I525" s="6"/>
      <c r="J525" s="7" t="s">
        <v>21</v>
      </c>
      <c r="K525" s="6"/>
      <c r="L525" s="6"/>
      <c r="M525" s="6"/>
      <c r="N525" s="6"/>
      <c r="O525" s="6"/>
    </row>
    <row r="526" spans="2:15">
      <c r="B526" s="6">
        <v>90</v>
      </c>
      <c r="C526" s="6" t="s">
        <v>682</v>
      </c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 t="s">
        <v>624</v>
      </c>
      <c r="O526" s="6"/>
    </row>
    <row r="527" spans="2:15">
      <c r="B527" s="6">
        <v>91</v>
      </c>
      <c r="C527" s="6" t="s">
        <v>683</v>
      </c>
      <c r="D527" s="6"/>
      <c r="E527" s="6"/>
      <c r="F527" s="6" t="s">
        <v>555</v>
      </c>
      <c r="G527" s="6" t="s">
        <v>684</v>
      </c>
      <c r="H527" s="6">
        <v>20</v>
      </c>
      <c r="I527" s="6"/>
      <c r="J527" s="7" t="s">
        <v>21</v>
      </c>
      <c r="K527" s="6"/>
      <c r="L527" s="6"/>
      <c r="M527" s="6"/>
      <c r="N527" s="6"/>
      <c r="O527" s="6"/>
    </row>
    <row r="528" spans="2:15">
      <c r="B528" s="6"/>
      <c r="C528" s="6"/>
      <c r="D528" s="6"/>
      <c r="E528" s="6"/>
      <c r="F528" s="6" t="s">
        <v>555</v>
      </c>
      <c r="G528" s="6" t="s">
        <v>685</v>
      </c>
      <c r="H528" s="6">
        <v>7</v>
      </c>
      <c r="I528" s="6"/>
      <c r="J528" s="7" t="s">
        <v>21</v>
      </c>
      <c r="K528" s="6"/>
      <c r="L528" s="6"/>
      <c r="M528" s="6"/>
      <c r="N528" s="6"/>
      <c r="O528" s="6"/>
    </row>
    <row r="529" spans="2:15">
      <c r="B529" s="6">
        <v>92</v>
      </c>
      <c r="C529" s="6" t="s">
        <v>686</v>
      </c>
      <c r="D529" s="6"/>
      <c r="E529" s="6"/>
      <c r="F529" s="6" t="s">
        <v>555</v>
      </c>
      <c r="G529" s="6" t="s">
        <v>687</v>
      </c>
      <c r="H529" s="6">
        <v>3</v>
      </c>
      <c r="I529" s="6"/>
      <c r="J529" s="7" t="s">
        <v>21</v>
      </c>
      <c r="K529" s="6"/>
      <c r="L529" s="6"/>
      <c r="M529" s="6"/>
      <c r="N529" s="6"/>
      <c r="O529" s="6"/>
    </row>
    <row r="530" spans="2:15">
      <c r="B530" s="6"/>
      <c r="C530" s="6"/>
      <c r="D530" s="6"/>
      <c r="E530" s="6"/>
      <c r="F530" s="6" t="s">
        <v>555</v>
      </c>
      <c r="G530" s="6" t="s">
        <v>688</v>
      </c>
      <c r="H530" s="6">
        <v>23</v>
      </c>
      <c r="I530" s="6"/>
      <c r="J530" s="7" t="s">
        <v>21</v>
      </c>
      <c r="K530" s="6"/>
      <c r="L530" s="6"/>
      <c r="M530" s="6"/>
      <c r="N530" s="6"/>
      <c r="O530" s="6"/>
    </row>
    <row r="531" spans="2:15">
      <c r="B531" s="6"/>
      <c r="C531" s="6"/>
      <c r="D531" s="6"/>
      <c r="E531" s="6"/>
      <c r="F531" s="6" t="s">
        <v>555</v>
      </c>
      <c r="G531" s="6" t="s">
        <v>689</v>
      </c>
      <c r="H531" s="6">
        <v>3</v>
      </c>
      <c r="I531" s="6"/>
      <c r="J531" s="7" t="s">
        <v>21</v>
      </c>
      <c r="K531" s="6"/>
      <c r="L531" s="6"/>
      <c r="M531" s="6"/>
      <c r="N531" s="6"/>
      <c r="O531" s="6"/>
    </row>
    <row r="532" spans="2:15">
      <c r="B532" s="6">
        <v>93</v>
      </c>
      <c r="C532" s="6" t="s">
        <v>690</v>
      </c>
      <c r="D532" s="6"/>
      <c r="E532" s="6"/>
      <c r="F532" s="6" t="s">
        <v>555</v>
      </c>
      <c r="G532" s="6" t="s">
        <v>691</v>
      </c>
      <c r="H532" s="6">
        <v>18</v>
      </c>
      <c r="I532" s="6"/>
      <c r="J532" s="7" t="s">
        <v>21</v>
      </c>
      <c r="K532" s="6"/>
      <c r="L532" s="6"/>
      <c r="M532" s="6"/>
      <c r="N532" s="6"/>
      <c r="O532" s="6"/>
    </row>
    <row r="533" spans="2:15">
      <c r="B533" s="6"/>
      <c r="C533" s="6"/>
      <c r="D533" s="6"/>
      <c r="E533" s="6"/>
      <c r="F533" s="6" t="s">
        <v>555</v>
      </c>
      <c r="G533" s="6" t="s">
        <v>692</v>
      </c>
      <c r="H533" s="6">
        <v>13</v>
      </c>
      <c r="I533" s="6"/>
      <c r="J533" s="7" t="s">
        <v>21</v>
      </c>
      <c r="K533" s="6"/>
      <c r="L533" s="6"/>
      <c r="M533" s="6"/>
      <c r="N533" s="6"/>
      <c r="O533" s="6"/>
    </row>
    <row r="534" spans="2:15">
      <c r="B534" s="6">
        <v>94</v>
      </c>
      <c r="C534" s="6" t="s">
        <v>693</v>
      </c>
      <c r="D534" s="6"/>
      <c r="E534" s="6"/>
      <c r="F534" s="6" t="s">
        <v>555</v>
      </c>
      <c r="G534" s="6" t="s">
        <v>694</v>
      </c>
      <c r="H534" s="6">
        <v>16</v>
      </c>
      <c r="I534" s="6"/>
      <c r="J534" s="7" t="s">
        <v>21</v>
      </c>
      <c r="K534" s="6"/>
      <c r="L534" s="6"/>
      <c r="M534" s="6"/>
      <c r="N534" s="6"/>
      <c r="O534" s="6"/>
    </row>
    <row r="535" spans="2:15">
      <c r="B535" s="6">
        <v>95</v>
      </c>
      <c r="C535" s="6" t="s">
        <v>695</v>
      </c>
      <c r="D535" s="6"/>
      <c r="E535" s="6"/>
      <c r="F535" s="6" t="s">
        <v>555</v>
      </c>
      <c r="G535" s="6" t="s">
        <v>696</v>
      </c>
      <c r="H535" s="6">
        <v>9</v>
      </c>
      <c r="I535" s="6"/>
      <c r="J535" s="7" t="s">
        <v>21</v>
      </c>
      <c r="K535" s="6"/>
      <c r="L535" s="6"/>
      <c r="M535" s="6"/>
      <c r="N535" s="6"/>
      <c r="O535" s="6"/>
    </row>
    <row r="536" spans="2:15">
      <c r="B536" s="6"/>
      <c r="C536" s="6"/>
      <c r="D536" s="6"/>
      <c r="E536" s="6"/>
      <c r="F536" s="6" t="s">
        <v>555</v>
      </c>
      <c r="G536" s="6" t="s">
        <v>697</v>
      </c>
      <c r="H536" s="6">
        <v>12</v>
      </c>
      <c r="I536" s="6"/>
      <c r="J536" s="7" t="s">
        <v>21</v>
      </c>
      <c r="K536" s="6"/>
      <c r="L536" s="6"/>
      <c r="M536" s="6"/>
      <c r="N536" s="6"/>
      <c r="O536" s="6"/>
    </row>
    <row r="537" spans="2:15">
      <c r="B537" s="6"/>
      <c r="C537" s="6"/>
      <c r="D537" s="6"/>
      <c r="E537" s="6"/>
      <c r="F537" s="6" t="s">
        <v>555</v>
      </c>
      <c r="G537" s="6" t="s">
        <v>698</v>
      </c>
      <c r="H537" s="6">
        <v>12</v>
      </c>
      <c r="I537" s="6"/>
      <c r="J537" s="7" t="s">
        <v>21</v>
      </c>
      <c r="K537" s="6"/>
      <c r="L537" s="6"/>
      <c r="M537" s="6"/>
      <c r="N537" s="6"/>
      <c r="O537" s="6"/>
    </row>
    <row r="538" spans="2:15">
      <c r="B538" s="6"/>
      <c r="C538" s="6"/>
      <c r="D538" s="6"/>
      <c r="E538" s="6"/>
      <c r="F538" s="6" t="s">
        <v>555</v>
      </c>
      <c r="G538" s="6" t="s">
        <v>699</v>
      </c>
      <c r="H538" s="6">
        <v>18</v>
      </c>
      <c r="I538" s="6"/>
      <c r="J538" s="7" t="s">
        <v>21</v>
      </c>
      <c r="K538" s="6"/>
      <c r="L538" s="6"/>
      <c r="M538" s="6"/>
      <c r="N538" s="6"/>
      <c r="O538" s="6"/>
    </row>
    <row r="539" spans="2:15">
      <c r="B539" s="6">
        <v>96</v>
      </c>
      <c r="C539" s="6" t="s">
        <v>700</v>
      </c>
      <c r="D539" s="6"/>
      <c r="E539" s="6"/>
      <c r="F539" s="6" t="s">
        <v>555</v>
      </c>
      <c r="G539" s="6" t="s">
        <v>701</v>
      </c>
      <c r="H539" s="6">
        <v>7</v>
      </c>
      <c r="I539" s="6"/>
      <c r="J539" s="7" t="s">
        <v>21</v>
      </c>
      <c r="K539" s="6"/>
      <c r="L539" s="6"/>
      <c r="M539" s="6"/>
      <c r="N539" s="6"/>
      <c r="O539" s="6"/>
    </row>
    <row r="540" spans="2:15">
      <c r="B540" s="6"/>
      <c r="C540" s="6"/>
      <c r="D540" s="6"/>
      <c r="E540" s="6"/>
      <c r="F540" s="6" t="s">
        <v>555</v>
      </c>
      <c r="G540" s="6" t="s">
        <v>702</v>
      </c>
      <c r="H540" s="6">
        <v>10</v>
      </c>
      <c r="I540" s="6"/>
      <c r="J540" s="7" t="s">
        <v>21</v>
      </c>
      <c r="K540" s="6"/>
      <c r="L540" s="6"/>
      <c r="M540" s="6"/>
      <c r="N540" s="6"/>
      <c r="O540" s="6"/>
    </row>
    <row r="541" spans="2:15">
      <c r="B541" s="6"/>
      <c r="C541" s="6"/>
      <c r="D541" s="6"/>
      <c r="E541" s="6"/>
      <c r="F541" s="6" t="s">
        <v>555</v>
      </c>
      <c r="G541" s="6" t="s">
        <v>703</v>
      </c>
      <c r="H541" s="6">
        <v>11</v>
      </c>
      <c r="I541" s="6"/>
      <c r="J541" s="7" t="s">
        <v>21</v>
      </c>
      <c r="K541" s="6"/>
      <c r="L541" s="6"/>
      <c r="M541" s="6"/>
      <c r="N541" s="6"/>
      <c r="O541" s="6"/>
    </row>
    <row r="542" spans="2:15">
      <c r="B542" s="6"/>
      <c r="C542" s="6"/>
      <c r="D542" s="6"/>
      <c r="E542" s="6"/>
      <c r="F542" s="6" t="s">
        <v>555</v>
      </c>
      <c r="G542" s="6" t="s">
        <v>704</v>
      </c>
      <c r="H542" s="6">
        <v>6</v>
      </c>
      <c r="I542" s="6"/>
      <c r="J542" s="7" t="s">
        <v>21</v>
      </c>
      <c r="K542" s="6"/>
      <c r="L542" s="6"/>
      <c r="M542" s="6"/>
      <c r="N542" s="6"/>
      <c r="O542" s="6"/>
    </row>
    <row r="543" spans="2:15">
      <c r="B543" s="6">
        <v>97</v>
      </c>
      <c r="C543" s="6" t="s">
        <v>705</v>
      </c>
      <c r="D543" s="6"/>
      <c r="E543" s="6"/>
      <c r="F543" s="6" t="s">
        <v>555</v>
      </c>
      <c r="G543" s="6" t="s">
        <v>706</v>
      </c>
      <c r="H543" s="6">
        <v>25</v>
      </c>
      <c r="I543" s="6"/>
      <c r="J543" s="7" t="s">
        <v>21</v>
      </c>
      <c r="K543" s="6"/>
      <c r="L543" s="6"/>
      <c r="M543" s="6"/>
      <c r="N543" s="6"/>
      <c r="O543" s="6"/>
    </row>
    <row r="544" spans="2:15">
      <c r="B544" s="6"/>
      <c r="C544" s="6"/>
      <c r="D544" s="6"/>
      <c r="E544" s="6"/>
      <c r="F544" s="6" t="s">
        <v>555</v>
      </c>
      <c r="G544" s="6" t="s">
        <v>707</v>
      </c>
      <c r="H544" s="6">
        <v>6</v>
      </c>
      <c r="I544" s="6"/>
      <c r="J544" s="7" t="s">
        <v>21</v>
      </c>
      <c r="K544" s="6"/>
      <c r="L544" s="6"/>
      <c r="M544" s="6"/>
      <c r="N544" s="6"/>
      <c r="O544" s="6"/>
    </row>
    <row r="545" spans="2:15">
      <c r="B545" s="6"/>
      <c r="C545" s="6"/>
      <c r="D545" s="6"/>
      <c r="E545" s="6"/>
      <c r="F545" s="6" t="s">
        <v>555</v>
      </c>
      <c r="G545" s="6" t="s">
        <v>708</v>
      </c>
      <c r="H545" s="6">
        <v>10</v>
      </c>
      <c r="I545" s="6"/>
      <c r="J545" s="7" t="s">
        <v>21</v>
      </c>
      <c r="K545" s="6"/>
      <c r="L545" s="6"/>
      <c r="M545" s="6"/>
      <c r="N545" s="6"/>
      <c r="O545" s="6"/>
    </row>
    <row r="546" spans="2:15">
      <c r="B546" s="6"/>
      <c r="C546" s="6"/>
      <c r="D546" s="6"/>
      <c r="E546" s="6"/>
      <c r="F546" s="6" t="s">
        <v>555</v>
      </c>
      <c r="G546" s="6" t="s">
        <v>709</v>
      </c>
      <c r="H546" s="6">
        <v>10</v>
      </c>
      <c r="I546" s="6"/>
      <c r="J546" s="7" t="s">
        <v>21</v>
      </c>
      <c r="K546" s="6"/>
      <c r="L546" s="6"/>
      <c r="M546" s="6"/>
      <c r="N546" s="6"/>
      <c r="O546" s="6"/>
    </row>
    <row r="547" spans="2:15">
      <c r="B547" s="6"/>
      <c r="C547" s="6"/>
      <c r="D547" s="6"/>
      <c r="E547" s="6"/>
      <c r="F547" s="6" t="s">
        <v>555</v>
      </c>
      <c r="G547" s="6" t="s">
        <v>710</v>
      </c>
      <c r="H547" s="6">
        <v>10</v>
      </c>
      <c r="I547" s="6"/>
      <c r="J547" s="7" t="s">
        <v>21</v>
      </c>
      <c r="K547" s="6"/>
      <c r="L547" s="6"/>
      <c r="M547" s="6"/>
      <c r="N547" s="6"/>
      <c r="O547" s="6"/>
    </row>
    <row r="548" spans="2:15">
      <c r="B548" s="6"/>
      <c r="C548" s="6"/>
      <c r="D548" s="6"/>
      <c r="E548" s="6"/>
      <c r="F548" s="6" t="s">
        <v>555</v>
      </c>
      <c r="G548" s="6" t="s">
        <v>711</v>
      </c>
      <c r="H548" s="6">
        <v>9</v>
      </c>
      <c r="I548" s="6"/>
      <c r="J548" s="7" t="s">
        <v>21</v>
      </c>
      <c r="K548" s="6"/>
      <c r="L548" s="6"/>
      <c r="M548" s="6"/>
      <c r="N548" s="6"/>
      <c r="O548" s="6"/>
    </row>
    <row r="549" spans="2:15">
      <c r="B549" s="6"/>
      <c r="C549" s="6"/>
      <c r="D549" s="6"/>
      <c r="E549" s="6"/>
      <c r="F549" s="6" t="s">
        <v>555</v>
      </c>
      <c r="G549" s="6" t="s">
        <v>712</v>
      </c>
      <c r="H549" s="6">
        <v>6</v>
      </c>
      <c r="I549" s="6"/>
      <c r="J549" s="7" t="s">
        <v>21</v>
      </c>
      <c r="K549" s="6"/>
      <c r="L549" s="6"/>
      <c r="M549" s="6"/>
      <c r="N549" s="6"/>
      <c r="O549" s="6"/>
    </row>
    <row r="550" spans="2:15">
      <c r="B550" s="6">
        <v>98</v>
      </c>
      <c r="C550" s="6" t="s">
        <v>713</v>
      </c>
      <c r="D550" s="6"/>
      <c r="E550" s="6"/>
      <c r="F550" s="6" t="s">
        <v>555</v>
      </c>
      <c r="G550" s="6" t="s">
        <v>714</v>
      </c>
      <c r="H550" s="6">
        <v>7</v>
      </c>
      <c r="I550" s="6"/>
      <c r="J550" s="7" t="s">
        <v>21</v>
      </c>
      <c r="K550" s="6"/>
      <c r="L550" s="6"/>
      <c r="M550" s="6"/>
      <c r="N550" s="6"/>
      <c r="O550" s="6"/>
    </row>
    <row r="551" spans="2:15">
      <c r="B551" s="6"/>
      <c r="C551" s="6"/>
      <c r="D551" s="6"/>
      <c r="E551" s="6"/>
      <c r="F551" s="6" t="s">
        <v>555</v>
      </c>
      <c r="G551" s="6" t="s">
        <v>715</v>
      </c>
      <c r="H551" s="6">
        <v>16</v>
      </c>
      <c r="I551" s="6"/>
      <c r="J551" s="7" t="s">
        <v>21</v>
      </c>
      <c r="K551" s="6"/>
      <c r="L551" s="6"/>
      <c r="M551" s="6"/>
      <c r="N551" s="6"/>
      <c r="O551" s="6"/>
    </row>
    <row r="552" spans="2:15">
      <c r="B552" s="6"/>
      <c r="C552" s="6"/>
      <c r="D552" s="6"/>
      <c r="E552" s="6"/>
      <c r="F552" s="6" t="s">
        <v>555</v>
      </c>
      <c r="G552" s="6" t="s">
        <v>716</v>
      </c>
      <c r="H552" s="6">
        <v>9</v>
      </c>
      <c r="I552" s="6"/>
      <c r="J552" s="7" t="s">
        <v>21</v>
      </c>
      <c r="K552" s="6"/>
      <c r="L552" s="6"/>
      <c r="M552" s="6"/>
      <c r="N552" s="6"/>
      <c r="O552" s="6"/>
    </row>
    <row r="553" spans="2:15">
      <c r="B553" s="6"/>
      <c r="C553" s="6"/>
      <c r="D553" s="6"/>
      <c r="E553" s="6"/>
      <c r="F553" s="6" t="s">
        <v>555</v>
      </c>
      <c r="G553" s="6" t="s">
        <v>717</v>
      </c>
      <c r="H553" s="6">
        <v>17</v>
      </c>
      <c r="I553" s="6"/>
      <c r="J553" s="7" t="s">
        <v>21</v>
      </c>
      <c r="K553" s="6"/>
      <c r="L553" s="6"/>
      <c r="M553" s="6"/>
      <c r="N553" s="6"/>
      <c r="O553" s="6"/>
    </row>
    <row r="554" spans="2:15">
      <c r="B554" s="6">
        <v>99</v>
      </c>
      <c r="C554" s="6" t="s">
        <v>718</v>
      </c>
      <c r="D554" s="6"/>
      <c r="E554" s="6"/>
      <c r="F554" s="6" t="s">
        <v>555</v>
      </c>
      <c r="G554" s="6" t="s">
        <v>719</v>
      </c>
      <c r="H554" s="6">
        <v>10</v>
      </c>
      <c r="I554" s="6"/>
      <c r="J554" s="7" t="s">
        <v>21</v>
      </c>
      <c r="K554" s="6"/>
      <c r="L554" s="6"/>
      <c r="M554" s="6"/>
      <c r="N554" s="6"/>
      <c r="O554" s="6"/>
    </row>
    <row r="555" spans="2:15">
      <c r="B555" s="6"/>
      <c r="C555" s="6"/>
      <c r="D555" s="6"/>
      <c r="E555" s="6"/>
      <c r="F555" s="6" t="s">
        <v>555</v>
      </c>
      <c r="G555" s="6" t="s">
        <v>720</v>
      </c>
      <c r="H555" s="6">
        <v>2</v>
      </c>
      <c r="I555" s="6"/>
      <c r="J555" s="7" t="s">
        <v>21</v>
      </c>
      <c r="K555" s="6"/>
      <c r="L555" s="6"/>
      <c r="M555" s="6"/>
      <c r="N555" s="6"/>
      <c r="O555" s="6"/>
    </row>
    <row r="556" spans="2:15">
      <c r="B556" s="6"/>
      <c r="C556" s="6"/>
      <c r="D556" s="6"/>
      <c r="E556" s="6"/>
      <c r="F556" s="6" t="s">
        <v>555</v>
      </c>
      <c r="G556" s="6" t="s">
        <v>721</v>
      </c>
      <c r="H556" s="6">
        <v>4</v>
      </c>
      <c r="I556" s="6"/>
      <c r="J556" s="7" t="s">
        <v>21</v>
      </c>
      <c r="K556" s="6"/>
      <c r="L556" s="6"/>
      <c r="M556" s="6"/>
      <c r="N556" s="6"/>
      <c r="O556" s="6"/>
    </row>
    <row r="557" spans="2:15">
      <c r="B557" s="6"/>
      <c r="C557" s="6"/>
      <c r="D557" s="6"/>
      <c r="E557" s="6"/>
      <c r="F557" s="6" t="s">
        <v>555</v>
      </c>
      <c r="G557" s="6" t="s">
        <v>722</v>
      </c>
      <c r="H557" s="6">
        <v>4</v>
      </c>
      <c r="I557" s="6"/>
      <c r="J557" s="7" t="s">
        <v>21</v>
      </c>
      <c r="K557" s="6"/>
      <c r="L557" s="6"/>
      <c r="M557" s="6"/>
      <c r="N557" s="6"/>
      <c r="O557" s="6"/>
    </row>
    <row r="558" spans="2:15">
      <c r="B558" s="6">
        <v>100</v>
      </c>
      <c r="C558" s="6" t="s">
        <v>723</v>
      </c>
      <c r="D558" s="6"/>
      <c r="E558" s="6"/>
      <c r="F558" s="6" t="s">
        <v>555</v>
      </c>
      <c r="G558" s="6" t="s">
        <v>724</v>
      </c>
      <c r="H558" s="6">
        <v>8</v>
      </c>
      <c r="I558" s="6"/>
      <c r="J558" s="7" t="s">
        <v>21</v>
      </c>
      <c r="K558" s="6"/>
      <c r="L558" s="6"/>
      <c r="M558" s="6"/>
      <c r="N558" s="6"/>
      <c r="O558" s="6"/>
    </row>
    <row r="559" spans="2:15">
      <c r="B559" s="6">
        <v>101</v>
      </c>
      <c r="C559" s="6" t="s">
        <v>725</v>
      </c>
      <c r="D559" s="6"/>
      <c r="E559" s="6"/>
      <c r="F559" s="6" t="s">
        <v>555</v>
      </c>
      <c r="G559" s="6" t="s">
        <v>726</v>
      </c>
      <c r="H559" s="6">
        <v>4</v>
      </c>
      <c r="I559" s="6"/>
      <c r="J559" s="7" t="s">
        <v>21</v>
      </c>
      <c r="K559" s="6"/>
      <c r="L559" s="6"/>
      <c r="M559" s="6"/>
      <c r="N559" s="6"/>
      <c r="O559" s="6"/>
    </row>
    <row r="560" spans="2:15">
      <c r="B560" s="6"/>
      <c r="C560" s="6"/>
      <c r="D560" s="6"/>
      <c r="E560" s="6"/>
      <c r="F560" s="6" t="s">
        <v>555</v>
      </c>
      <c r="G560" s="6" t="s">
        <v>727</v>
      </c>
      <c r="H560" s="6">
        <v>10</v>
      </c>
      <c r="I560" s="6"/>
      <c r="J560" s="7" t="s">
        <v>21</v>
      </c>
      <c r="K560" s="6"/>
      <c r="L560" s="6"/>
      <c r="M560" s="6"/>
      <c r="N560" s="6"/>
      <c r="O560" s="6"/>
    </row>
    <row r="561" spans="2:15">
      <c r="B561" s="6"/>
      <c r="C561" s="6"/>
      <c r="D561" s="6"/>
      <c r="E561" s="6"/>
      <c r="F561" s="6" t="s">
        <v>555</v>
      </c>
      <c r="G561" s="6" t="s">
        <v>728</v>
      </c>
      <c r="H561" s="6">
        <v>6</v>
      </c>
      <c r="I561" s="6"/>
      <c r="J561" s="7" t="s">
        <v>21</v>
      </c>
      <c r="K561" s="6"/>
      <c r="L561" s="6"/>
      <c r="M561" s="6"/>
      <c r="N561" s="6"/>
      <c r="O561" s="6"/>
    </row>
    <row r="562" spans="2:15">
      <c r="B562" s="6"/>
      <c r="C562" s="6"/>
      <c r="D562" s="6"/>
      <c r="E562" s="6"/>
      <c r="F562" s="6" t="s">
        <v>555</v>
      </c>
      <c r="G562" s="6" t="s">
        <v>729</v>
      </c>
      <c r="H562" s="6">
        <v>5</v>
      </c>
      <c r="I562" s="6"/>
      <c r="J562" s="7" t="s">
        <v>21</v>
      </c>
      <c r="K562" s="6"/>
      <c r="L562" s="6"/>
      <c r="M562" s="6"/>
      <c r="N562" s="6"/>
      <c r="O562" s="6"/>
    </row>
  </sheetData>
  <autoFilter ref="B2:O562" xr:uid="{ED18E588-4D1F-4A87-9BE7-43BAD2797435}"/>
  <mergeCells count="5">
    <mergeCell ref="L8:L9"/>
    <mergeCell ref="L167:L168"/>
    <mergeCell ref="M167:M168"/>
    <mergeCell ref="L246:L250"/>
    <mergeCell ref="M246:M250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3068D-B688-4741-81BA-4E8A68DAE4AE}">
  <dimension ref="B2:F115"/>
  <sheetViews>
    <sheetView workbookViewId="0">
      <selection activeCell="F111" sqref="F111"/>
    </sheetView>
  </sheetViews>
  <sheetFormatPr defaultRowHeight="15"/>
  <cols>
    <col min="3" max="3" width="17.42578125" bestFit="1" customWidth="1"/>
    <col min="4" max="4" width="12.140625" bestFit="1" customWidth="1"/>
  </cols>
  <sheetData>
    <row r="2" spans="2:6">
      <c r="C2" t="s">
        <v>730</v>
      </c>
      <c r="D2" t="s">
        <v>731</v>
      </c>
      <c r="E2" t="s">
        <v>732</v>
      </c>
      <c r="F2" t="s">
        <v>733</v>
      </c>
    </row>
    <row r="3" spans="2:6">
      <c r="B3">
        <v>1</v>
      </c>
      <c r="C3" t="s">
        <v>14</v>
      </c>
      <c r="D3">
        <f>SUM('Existing perfo + NZBP'!H3:H11)</f>
        <v>203</v>
      </c>
      <c r="E3">
        <f>'Existing perfo + NZBP'!H3+'Existing perfo + NZBP'!H10</f>
        <v>48</v>
      </c>
      <c r="F3">
        <f>D3-E3</f>
        <v>155</v>
      </c>
    </row>
    <row r="4" spans="2:6">
      <c r="B4">
        <v>2</v>
      </c>
      <c r="C4" t="s">
        <v>34</v>
      </c>
      <c r="D4">
        <f>SUM('Existing perfo + NZBP'!H12:H14)</f>
        <v>129</v>
      </c>
      <c r="E4">
        <f>'Existing perfo + NZBP'!H14</f>
        <v>29</v>
      </c>
      <c r="F4">
        <f>D4-E4</f>
        <v>100</v>
      </c>
    </row>
    <row r="5" spans="2:6">
      <c r="B5">
        <v>3</v>
      </c>
      <c r="C5" t="s">
        <v>40</v>
      </c>
      <c r="D5">
        <f>SUM('Existing perfo + NZBP'!H15:H17)</f>
        <v>27</v>
      </c>
      <c r="E5">
        <f>'Existing perfo + NZBP'!H16+'Existing perfo + NZBP'!H17</f>
        <v>21</v>
      </c>
      <c r="F5">
        <f>D5-E5</f>
        <v>6</v>
      </c>
    </row>
    <row r="6" spans="2:6">
      <c r="B6">
        <v>4</v>
      </c>
      <c r="C6" t="s">
        <v>47</v>
      </c>
      <c r="D6">
        <f>SUM('Existing perfo + NZBP'!H18:H19)</f>
        <v>17</v>
      </c>
      <c r="E6">
        <f>'Existing perfo + NZBP'!H19</f>
        <v>13</v>
      </c>
      <c r="F6">
        <f>D6-E6</f>
        <v>4</v>
      </c>
    </row>
    <row r="7" spans="2:6">
      <c r="B7">
        <v>5</v>
      </c>
      <c r="C7" t="s">
        <v>51</v>
      </c>
      <c r="D7">
        <v>0</v>
      </c>
      <c r="E7">
        <v>0</v>
      </c>
      <c r="F7">
        <v>0</v>
      </c>
    </row>
    <row r="8" spans="2:6">
      <c r="B8">
        <v>6</v>
      </c>
      <c r="C8" t="s">
        <v>53</v>
      </c>
      <c r="D8">
        <f>SUM('Existing perfo + NZBP'!H21:H33)</f>
        <v>150</v>
      </c>
      <c r="E8">
        <f>'Existing perfo + NZBP'!H21</f>
        <v>41</v>
      </c>
      <c r="F8">
        <f>D8-E8</f>
        <v>109</v>
      </c>
    </row>
    <row r="9" spans="2:6">
      <c r="B9">
        <v>7</v>
      </c>
      <c r="C9" t="s">
        <v>70</v>
      </c>
      <c r="D9">
        <f>SUM('Existing perfo + NZBP'!H34:H44)</f>
        <v>86</v>
      </c>
      <c r="E9">
        <f>'Existing perfo + NZBP'!H34</f>
        <v>5</v>
      </c>
      <c r="F9">
        <f>D9-E9</f>
        <v>81</v>
      </c>
    </row>
    <row r="10" spans="2:6">
      <c r="B10">
        <v>8</v>
      </c>
      <c r="C10" t="s">
        <v>83</v>
      </c>
      <c r="D10">
        <f>SUM('Existing perfo + NZBP'!H45:H59)</f>
        <v>164</v>
      </c>
      <c r="E10">
        <f>SUM('Existing perfo + NZBP'!H45:H49)</f>
        <v>85</v>
      </c>
      <c r="F10">
        <f>D10-E10</f>
        <v>79</v>
      </c>
    </row>
    <row r="11" spans="2:6">
      <c r="B11">
        <v>9</v>
      </c>
      <c r="C11" t="s">
        <v>102</v>
      </c>
      <c r="D11">
        <f>SUM('Existing perfo + NZBP'!H60:H67)</f>
        <v>112</v>
      </c>
      <c r="E11">
        <f>'Existing perfo + NZBP'!H60+'Existing perfo + NZBP'!H63+'Existing perfo + NZBP'!H65</f>
        <v>64</v>
      </c>
      <c r="F11">
        <f>D11-E11</f>
        <v>48</v>
      </c>
    </row>
    <row r="12" spans="2:6">
      <c r="B12">
        <v>10</v>
      </c>
      <c r="C12" t="s">
        <v>115</v>
      </c>
      <c r="D12">
        <f>E12+F12</f>
        <v>137</v>
      </c>
      <c r="E12">
        <f>SUM('Existing perfo + NZBP'!H68:H74)</f>
        <v>116</v>
      </c>
      <c r="F12">
        <v>21</v>
      </c>
    </row>
    <row r="13" spans="2:6">
      <c r="B13">
        <v>11</v>
      </c>
      <c r="C13" t="s">
        <v>734</v>
      </c>
      <c r="D13">
        <v>14</v>
      </c>
      <c r="E13">
        <v>0</v>
      </c>
      <c r="F13">
        <v>14</v>
      </c>
    </row>
    <row r="14" spans="2:6">
      <c r="B14">
        <v>12</v>
      </c>
      <c r="C14" t="s">
        <v>136</v>
      </c>
      <c r="D14">
        <f>SUM('Existing perfo + NZBP'!H81:H89)</f>
        <v>114</v>
      </c>
      <c r="E14">
        <f>SUM('Existing perfo + NZBP'!H81:H82)</f>
        <v>25</v>
      </c>
      <c r="F14">
        <f>D14-E14</f>
        <v>89</v>
      </c>
    </row>
    <row r="15" spans="2:6">
      <c r="B15">
        <v>13</v>
      </c>
      <c r="C15" s="5" t="s">
        <v>144</v>
      </c>
      <c r="D15" s="5">
        <v>39</v>
      </c>
      <c r="E15" s="5">
        <v>0</v>
      </c>
      <c r="F15" s="5">
        <v>39</v>
      </c>
    </row>
    <row r="16" spans="2:6">
      <c r="B16">
        <v>14</v>
      </c>
      <c r="C16" t="s">
        <v>151</v>
      </c>
      <c r="D16">
        <f>SUM('Existing perfo + NZBP'!H94:H97)</f>
        <v>34</v>
      </c>
      <c r="E16">
        <v>0</v>
      </c>
      <c r="F16">
        <f>D16-E16</f>
        <v>34</v>
      </c>
    </row>
    <row r="17" spans="2:6">
      <c r="B17">
        <v>15</v>
      </c>
      <c r="C17" t="s">
        <v>157</v>
      </c>
      <c r="D17">
        <f>SUM('Existing perfo + NZBP'!H98:H108)</f>
        <v>91</v>
      </c>
      <c r="E17">
        <f>'Existing perfo + NZBP'!H107+'Existing perfo + NZBP'!H108</f>
        <v>23</v>
      </c>
      <c r="F17">
        <f>D17-E17</f>
        <v>68</v>
      </c>
    </row>
    <row r="18" spans="2:6">
      <c r="B18">
        <v>16</v>
      </c>
      <c r="C18" t="s">
        <v>173</v>
      </c>
      <c r="D18">
        <f>SUM('Existing perfo + NZBP'!H109:H120)</f>
        <v>71</v>
      </c>
      <c r="E18">
        <v>18</v>
      </c>
      <c r="F18">
        <f>D18-E18</f>
        <v>53</v>
      </c>
    </row>
    <row r="19" spans="2:6">
      <c r="B19">
        <v>17</v>
      </c>
      <c r="C19" t="s">
        <v>187</v>
      </c>
      <c r="D19">
        <f>SUM('Existing perfo + NZBP'!H121:H124)</f>
        <v>40</v>
      </c>
      <c r="E19">
        <v>29</v>
      </c>
      <c r="F19">
        <f>D19-E19</f>
        <v>11</v>
      </c>
    </row>
    <row r="20" spans="2:6">
      <c r="B20">
        <v>18</v>
      </c>
      <c r="C20" t="s">
        <v>194</v>
      </c>
      <c r="D20">
        <f>SUM('Existing perfo + NZBP'!H125:H128)</f>
        <v>42</v>
      </c>
      <c r="E20">
        <f>'Existing perfo + NZBP'!H125</f>
        <v>31</v>
      </c>
      <c r="F20">
        <f>D20-E20</f>
        <v>11</v>
      </c>
    </row>
    <row r="21" spans="2:6">
      <c r="B21">
        <v>19</v>
      </c>
      <c r="C21" t="s">
        <v>200</v>
      </c>
      <c r="D21">
        <f>SUM('Existing perfo + NZBP'!H129:H130)</f>
        <v>8</v>
      </c>
      <c r="E21">
        <v>4</v>
      </c>
      <c r="F21">
        <f t="shared" ref="F21:F61" si="0">D21-E21</f>
        <v>4</v>
      </c>
    </row>
    <row r="22" spans="2:6">
      <c r="B22">
        <v>20</v>
      </c>
      <c r="C22" t="s">
        <v>203</v>
      </c>
      <c r="D22">
        <f>SUM('Existing perfo + NZBP'!H131:H145)</f>
        <v>230</v>
      </c>
      <c r="E22">
        <v>0</v>
      </c>
      <c r="F22">
        <f t="shared" si="0"/>
        <v>230</v>
      </c>
    </row>
    <row r="23" spans="2:6">
      <c r="B23">
        <v>21</v>
      </c>
      <c r="C23" t="s">
        <v>228</v>
      </c>
      <c r="D23">
        <f>SUM('Existing perfo + NZBP'!H146:H154)</f>
        <v>59</v>
      </c>
      <c r="E23">
        <v>0</v>
      </c>
      <c r="F23">
        <f t="shared" si="0"/>
        <v>59</v>
      </c>
    </row>
    <row r="24" spans="2:6">
      <c r="B24">
        <v>22</v>
      </c>
      <c r="C24" t="s">
        <v>238</v>
      </c>
      <c r="D24">
        <f>SUM('Existing perfo + NZBP'!H155:H165)</f>
        <v>108</v>
      </c>
      <c r="E24">
        <v>29</v>
      </c>
      <c r="F24">
        <f t="shared" si="0"/>
        <v>79</v>
      </c>
    </row>
    <row r="25" spans="2:6">
      <c r="B25">
        <v>23</v>
      </c>
      <c r="C25" t="s">
        <v>254</v>
      </c>
      <c r="D25">
        <f>SUM('Existing perfo + NZBP'!H166:H172)</f>
        <v>106</v>
      </c>
      <c r="E25">
        <v>15</v>
      </c>
      <c r="F25">
        <f t="shared" si="0"/>
        <v>91</v>
      </c>
    </row>
    <row r="26" spans="2:6">
      <c r="B26">
        <v>24</v>
      </c>
      <c r="C26" t="s">
        <v>262</v>
      </c>
      <c r="D26">
        <f>SUM('Existing perfo + NZBP'!H173:H177)</f>
        <v>54</v>
      </c>
      <c r="E26">
        <v>26</v>
      </c>
      <c r="F26">
        <f t="shared" si="0"/>
        <v>28</v>
      </c>
    </row>
    <row r="27" spans="2:6">
      <c r="B27">
        <v>25</v>
      </c>
      <c r="C27" t="s">
        <v>269</v>
      </c>
      <c r="D27">
        <f>SUM('Existing perfo + NZBP'!H178:H179)</f>
        <v>16</v>
      </c>
      <c r="E27">
        <v>0</v>
      </c>
      <c r="F27">
        <f t="shared" si="0"/>
        <v>16</v>
      </c>
    </row>
    <row r="28" spans="2:6">
      <c r="B28">
        <v>26</v>
      </c>
      <c r="C28" t="s">
        <v>272</v>
      </c>
      <c r="D28">
        <f>SUM('Existing perfo + NZBP'!H180:H185)</f>
        <v>35</v>
      </c>
      <c r="E28">
        <v>0</v>
      </c>
      <c r="F28">
        <f t="shared" si="0"/>
        <v>35</v>
      </c>
    </row>
    <row r="29" spans="2:6">
      <c r="B29">
        <v>27</v>
      </c>
      <c r="C29" t="s">
        <v>279</v>
      </c>
      <c r="D29">
        <v>12</v>
      </c>
      <c r="E29">
        <v>0</v>
      </c>
      <c r="F29">
        <f t="shared" si="0"/>
        <v>12</v>
      </c>
    </row>
    <row r="30" spans="2:6">
      <c r="B30">
        <v>28</v>
      </c>
      <c r="C30" t="s">
        <v>282</v>
      </c>
      <c r="D30">
        <f>SUM('Existing perfo + NZBP'!H188:H193)</f>
        <v>52</v>
      </c>
      <c r="E30">
        <v>0</v>
      </c>
      <c r="F30">
        <f t="shared" si="0"/>
        <v>52</v>
      </c>
    </row>
    <row r="31" spans="2:6">
      <c r="B31">
        <v>29</v>
      </c>
      <c r="C31" t="s">
        <v>289</v>
      </c>
      <c r="D31">
        <f>SUM('Existing perfo + NZBP'!H194:H202)</f>
        <v>69</v>
      </c>
      <c r="E31">
        <v>0</v>
      </c>
      <c r="F31">
        <f t="shared" si="0"/>
        <v>69</v>
      </c>
    </row>
    <row r="32" spans="2:6">
      <c r="B32">
        <v>30</v>
      </c>
      <c r="C32" t="s">
        <v>299</v>
      </c>
      <c r="D32">
        <f>SUM('Existing perfo + NZBP'!H203:H209)</f>
        <v>45</v>
      </c>
      <c r="E32">
        <v>14</v>
      </c>
      <c r="F32">
        <f t="shared" si="0"/>
        <v>31</v>
      </c>
    </row>
    <row r="33" spans="2:6">
      <c r="B33">
        <v>31</v>
      </c>
      <c r="C33" t="s">
        <v>128</v>
      </c>
      <c r="D33">
        <f>SUM('Existing perfo + NZBP'!H211:H214)</f>
        <v>32</v>
      </c>
      <c r="E33">
        <v>0</v>
      </c>
      <c r="F33">
        <f t="shared" si="0"/>
        <v>32</v>
      </c>
    </row>
    <row r="34" spans="2:6">
      <c r="B34">
        <v>32</v>
      </c>
      <c r="C34" t="s">
        <v>307</v>
      </c>
      <c r="D34">
        <f>SUM('Existing perfo + NZBP'!H215:H218)</f>
        <v>13</v>
      </c>
      <c r="E34">
        <v>6</v>
      </c>
      <c r="F34">
        <f t="shared" si="0"/>
        <v>7</v>
      </c>
    </row>
    <row r="35" spans="2:6">
      <c r="B35">
        <v>33</v>
      </c>
      <c r="C35" t="s">
        <v>312</v>
      </c>
      <c r="D35">
        <f>SUM('Existing perfo + NZBP'!H219:H222)</f>
        <v>81</v>
      </c>
      <c r="E35">
        <v>0</v>
      </c>
      <c r="F35">
        <f t="shared" si="0"/>
        <v>81</v>
      </c>
    </row>
    <row r="36" spans="2:6">
      <c r="B36">
        <v>34</v>
      </c>
      <c r="C36" t="s">
        <v>317</v>
      </c>
      <c r="D36">
        <v>0</v>
      </c>
      <c r="E36">
        <v>0</v>
      </c>
      <c r="F36">
        <f t="shared" si="0"/>
        <v>0</v>
      </c>
    </row>
    <row r="37" spans="2:6">
      <c r="B37">
        <v>35</v>
      </c>
      <c r="C37" t="s">
        <v>319</v>
      </c>
      <c r="D37">
        <f>SUM('Existing perfo + NZBP'!H224:H226)</f>
        <v>54</v>
      </c>
      <c r="E37">
        <v>0</v>
      </c>
      <c r="F37">
        <f t="shared" si="0"/>
        <v>54</v>
      </c>
    </row>
    <row r="38" spans="2:6">
      <c r="B38">
        <v>36</v>
      </c>
      <c r="C38" t="s">
        <v>323</v>
      </c>
      <c r="D38">
        <f>SUM('Existing perfo + NZBP'!H227)</f>
        <v>10</v>
      </c>
      <c r="E38">
        <v>0</v>
      </c>
      <c r="F38">
        <f t="shared" si="0"/>
        <v>10</v>
      </c>
    </row>
    <row r="39" spans="2:6">
      <c r="B39">
        <v>37</v>
      </c>
      <c r="C39" t="s">
        <v>325</v>
      </c>
      <c r="D39">
        <f>SUM('Existing perfo + NZBP'!H228:H236)</f>
        <v>74</v>
      </c>
      <c r="E39">
        <v>26</v>
      </c>
      <c r="F39">
        <f t="shared" si="0"/>
        <v>48</v>
      </c>
    </row>
    <row r="40" spans="2:6">
      <c r="B40">
        <v>38</v>
      </c>
      <c r="C40" t="s">
        <v>335</v>
      </c>
      <c r="D40">
        <f>SUM('Existing perfo + NZBP'!H237:H244)</f>
        <v>110</v>
      </c>
      <c r="E40">
        <v>0</v>
      </c>
      <c r="F40">
        <f t="shared" si="0"/>
        <v>110</v>
      </c>
    </row>
    <row r="41" spans="2:6">
      <c r="B41">
        <v>39</v>
      </c>
      <c r="C41" t="s">
        <v>345</v>
      </c>
      <c r="D41">
        <f>SUM('Existing perfo + NZBP'!H245:H250)</f>
        <v>65</v>
      </c>
      <c r="E41">
        <v>9</v>
      </c>
      <c r="F41">
        <f t="shared" si="0"/>
        <v>56</v>
      </c>
    </row>
    <row r="42" spans="2:6">
      <c r="B42">
        <v>40</v>
      </c>
      <c r="C42" s="4" t="s">
        <v>353</v>
      </c>
      <c r="D42" s="4">
        <f>SUM('Existing perfo + NZBP'!H251:H269)</f>
        <v>234</v>
      </c>
      <c r="E42" s="4">
        <v>10</v>
      </c>
      <c r="F42" s="4">
        <f t="shared" si="0"/>
        <v>224</v>
      </c>
    </row>
    <row r="43" spans="2:6">
      <c r="B43">
        <v>41</v>
      </c>
      <c r="C43" t="s">
        <v>374</v>
      </c>
      <c r="D43">
        <f>SUM('Existing perfo + NZBP'!H270:H282)</f>
        <v>200</v>
      </c>
      <c r="E43">
        <v>0</v>
      </c>
      <c r="F43">
        <f t="shared" si="0"/>
        <v>200</v>
      </c>
    </row>
    <row r="44" spans="2:6">
      <c r="B44">
        <v>42</v>
      </c>
      <c r="C44" t="s">
        <v>388</v>
      </c>
      <c r="D44">
        <f>SUM('Existing perfo + NZBP'!H283:H293)</f>
        <v>122</v>
      </c>
      <c r="E44">
        <v>0</v>
      </c>
      <c r="F44">
        <f t="shared" si="0"/>
        <v>122</v>
      </c>
    </row>
    <row r="45" spans="2:6">
      <c r="B45">
        <v>43</v>
      </c>
      <c r="C45" t="s">
        <v>400</v>
      </c>
      <c r="D45">
        <f>SUM('Existing perfo + NZBP'!H294:H308)</f>
        <v>125</v>
      </c>
      <c r="E45">
        <v>28</v>
      </c>
      <c r="F45">
        <f t="shared" si="0"/>
        <v>97</v>
      </c>
    </row>
    <row r="46" spans="2:6">
      <c r="B46">
        <v>44</v>
      </c>
      <c r="C46" t="s">
        <v>416</v>
      </c>
      <c r="D46">
        <f>SUM('Existing perfo + NZBP'!H309:H314)</f>
        <v>80</v>
      </c>
      <c r="E46">
        <v>38</v>
      </c>
      <c r="F46">
        <f t="shared" si="0"/>
        <v>42</v>
      </c>
    </row>
    <row r="47" spans="2:6">
      <c r="B47">
        <v>45</v>
      </c>
      <c r="C47" t="s">
        <v>423</v>
      </c>
      <c r="D47">
        <f>SUM('Existing perfo + NZBP'!H315:H320)</f>
        <v>60</v>
      </c>
      <c r="E47">
        <v>0</v>
      </c>
      <c r="F47">
        <f t="shared" si="0"/>
        <v>60</v>
      </c>
    </row>
    <row r="48" spans="2:6">
      <c r="B48">
        <v>46</v>
      </c>
      <c r="C48" t="s">
        <v>430</v>
      </c>
      <c r="D48">
        <f>SUM('Existing perfo + NZBP'!H321:H328)</f>
        <v>94</v>
      </c>
      <c r="E48">
        <v>12</v>
      </c>
      <c r="F48">
        <f t="shared" si="0"/>
        <v>82</v>
      </c>
    </row>
    <row r="49" spans="2:6">
      <c r="B49">
        <v>47</v>
      </c>
      <c r="C49" t="s">
        <v>440</v>
      </c>
      <c r="D49">
        <f>SUM('Existing perfo + NZBP'!H329:H337)</f>
        <v>93</v>
      </c>
      <c r="E49">
        <v>43</v>
      </c>
      <c r="F49">
        <f t="shared" si="0"/>
        <v>50</v>
      </c>
    </row>
    <row r="50" spans="2:6">
      <c r="B50">
        <v>48</v>
      </c>
      <c r="C50" t="s">
        <v>450</v>
      </c>
      <c r="D50">
        <f>SUM('Existing perfo + NZBP'!H338:H344)</f>
        <v>42</v>
      </c>
      <c r="E50">
        <v>0</v>
      </c>
      <c r="F50">
        <f t="shared" si="0"/>
        <v>42</v>
      </c>
    </row>
    <row r="51" spans="2:6">
      <c r="B51">
        <v>49</v>
      </c>
      <c r="C51" t="s">
        <v>460</v>
      </c>
      <c r="D51">
        <f>SUM('Existing perfo + NZBP'!H345:H347)</f>
        <v>30</v>
      </c>
      <c r="E51">
        <v>0</v>
      </c>
      <c r="F51">
        <f t="shared" si="0"/>
        <v>30</v>
      </c>
    </row>
    <row r="52" spans="2:6">
      <c r="B52">
        <v>50</v>
      </c>
      <c r="C52" t="s">
        <v>464</v>
      </c>
      <c r="D52">
        <f>SUM('Existing perfo + NZBP'!H348:H355)</f>
        <v>81</v>
      </c>
      <c r="E52">
        <v>10</v>
      </c>
      <c r="F52">
        <f t="shared" si="0"/>
        <v>71</v>
      </c>
    </row>
    <row r="53" spans="2:6">
      <c r="B53">
        <v>51</v>
      </c>
      <c r="C53" t="s">
        <v>473</v>
      </c>
      <c r="D53">
        <f>SUM('Existing perfo + NZBP'!H356:H368)</f>
        <v>121</v>
      </c>
      <c r="E53">
        <v>32</v>
      </c>
      <c r="F53">
        <f t="shared" si="0"/>
        <v>89</v>
      </c>
    </row>
    <row r="54" spans="2:6">
      <c r="B54">
        <v>52</v>
      </c>
      <c r="C54" t="s">
        <v>488</v>
      </c>
      <c r="D54">
        <f>SUM('Existing perfo + NZBP'!H369:H377)</f>
        <v>117</v>
      </c>
      <c r="E54">
        <v>90</v>
      </c>
      <c r="F54">
        <f t="shared" si="0"/>
        <v>27</v>
      </c>
    </row>
    <row r="55" spans="2:6">
      <c r="B55">
        <v>53</v>
      </c>
      <c r="C55" t="s">
        <v>497</v>
      </c>
      <c r="D55">
        <f>SUM('Existing perfo + NZBP'!H378:H388)</f>
        <v>106</v>
      </c>
      <c r="E55">
        <v>59</v>
      </c>
      <c r="F55">
        <f t="shared" si="0"/>
        <v>47</v>
      </c>
    </row>
    <row r="56" spans="2:6">
      <c r="B56">
        <v>54</v>
      </c>
      <c r="C56" t="s">
        <v>510</v>
      </c>
      <c r="D56">
        <v>0</v>
      </c>
      <c r="E56">
        <v>0</v>
      </c>
      <c r="F56">
        <f t="shared" si="0"/>
        <v>0</v>
      </c>
    </row>
    <row r="57" spans="2:6">
      <c r="B57">
        <v>55</v>
      </c>
      <c r="C57" t="s">
        <v>512</v>
      </c>
      <c r="D57">
        <f>SUM('Existing perfo + NZBP'!H390:H400)</f>
        <v>107</v>
      </c>
      <c r="E57">
        <v>51</v>
      </c>
      <c r="F57">
        <f t="shared" si="0"/>
        <v>56</v>
      </c>
    </row>
    <row r="58" spans="2:6">
      <c r="B58">
        <v>56</v>
      </c>
      <c r="C58" t="s">
        <v>524</v>
      </c>
      <c r="D58">
        <f>SUM('Existing perfo + NZBP'!H401:H402)</f>
        <v>30</v>
      </c>
      <c r="E58">
        <v>20</v>
      </c>
      <c r="F58">
        <f t="shared" si="0"/>
        <v>10</v>
      </c>
    </row>
    <row r="59" spans="2:6">
      <c r="B59">
        <v>57</v>
      </c>
      <c r="C59" t="s">
        <v>527</v>
      </c>
      <c r="D59">
        <f>SUM('Existing perfo + NZBP'!H403:H412)</f>
        <v>100</v>
      </c>
      <c r="E59">
        <v>12</v>
      </c>
      <c r="F59">
        <f t="shared" si="0"/>
        <v>88</v>
      </c>
    </row>
    <row r="60" spans="2:6">
      <c r="B60">
        <v>58</v>
      </c>
      <c r="C60" t="s">
        <v>538</v>
      </c>
      <c r="D60">
        <f>SUM('Existing perfo + NZBP'!H413:H421)</f>
        <v>99</v>
      </c>
      <c r="E60">
        <v>90</v>
      </c>
      <c r="F60">
        <f t="shared" si="0"/>
        <v>9</v>
      </c>
    </row>
    <row r="61" spans="2:6">
      <c r="B61">
        <v>59</v>
      </c>
      <c r="C61" t="s">
        <v>550</v>
      </c>
      <c r="D61">
        <f>SUM('Existing perfo + NZBP'!H422:H423)</f>
        <v>15</v>
      </c>
      <c r="E61">
        <v>0</v>
      </c>
      <c r="F61">
        <f t="shared" si="0"/>
        <v>15</v>
      </c>
    </row>
    <row r="62" spans="2:6">
      <c r="B62">
        <v>60</v>
      </c>
      <c r="C62" t="s">
        <v>554</v>
      </c>
      <c r="D62">
        <f>SUM('Existing perfo + NZBP'!H424:H426)</f>
        <v>35</v>
      </c>
    </row>
    <row r="63" spans="2:6">
      <c r="B63">
        <v>61</v>
      </c>
      <c r="C63" t="s">
        <v>559</v>
      </c>
      <c r="D63">
        <f>SUM('Existing perfo + NZBP'!H487:H489)</f>
        <v>28</v>
      </c>
    </row>
    <row r="64" spans="2:6">
      <c r="B64">
        <v>62</v>
      </c>
      <c r="C64" t="s">
        <v>564</v>
      </c>
      <c r="D64">
        <f>SUM('Existing perfo + NZBP'!H431:H434)</f>
        <v>35</v>
      </c>
    </row>
    <row r="65" spans="2:4">
      <c r="B65">
        <v>63</v>
      </c>
      <c r="C65" t="s">
        <v>569</v>
      </c>
      <c r="D65">
        <f>SUM('Existing perfo + NZBP'!H435:H438)</f>
        <v>35</v>
      </c>
    </row>
    <row r="66" spans="2:4">
      <c r="B66">
        <v>64</v>
      </c>
      <c r="C66" t="s">
        <v>574</v>
      </c>
      <c r="D66">
        <f>SUM('Existing perfo + NZBP'!H439:H445)</f>
        <v>63</v>
      </c>
    </row>
    <row r="67" spans="2:4">
      <c r="B67">
        <v>65</v>
      </c>
      <c r="C67" t="s">
        <v>582</v>
      </c>
      <c r="D67">
        <f>SUM('Existing perfo + NZBP'!H446:H448)</f>
        <v>79</v>
      </c>
    </row>
    <row r="68" spans="2:4">
      <c r="B68">
        <v>66</v>
      </c>
      <c r="C68" t="s">
        <v>586</v>
      </c>
      <c r="D68">
        <f>SUM('Existing perfo + NZBP'!H449:H452)</f>
        <v>54</v>
      </c>
    </row>
    <row r="69" spans="2:4">
      <c r="B69">
        <v>67</v>
      </c>
      <c r="C69" t="s">
        <v>591</v>
      </c>
      <c r="D69">
        <f>SUM('Existing perfo + NZBP'!H453:H455)</f>
        <v>34</v>
      </c>
    </row>
    <row r="70" spans="2:4">
      <c r="B70">
        <v>68</v>
      </c>
      <c r="C70" t="s">
        <v>595</v>
      </c>
      <c r="D70">
        <f>SUM('Existing perfo + NZBP'!H456:H459)</f>
        <v>39</v>
      </c>
    </row>
    <row r="71" spans="2:4">
      <c r="B71">
        <v>69</v>
      </c>
      <c r="C71" t="s">
        <v>600</v>
      </c>
      <c r="D71">
        <f>SUM('Existing perfo + NZBP'!H460:H463)</f>
        <v>47</v>
      </c>
    </row>
    <row r="72" spans="2:4">
      <c r="B72">
        <v>70</v>
      </c>
      <c r="C72" t="s">
        <v>601</v>
      </c>
      <c r="D72">
        <f>SUM('Existing perfo + NZBP'!H464)</f>
        <v>62</v>
      </c>
    </row>
    <row r="73" spans="2:4">
      <c r="B73">
        <v>71</v>
      </c>
      <c r="C73" t="s">
        <v>603</v>
      </c>
      <c r="D73">
        <f>SUM('Existing perfo + NZBP'!H465:H469)</f>
        <v>41</v>
      </c>
    </row>
    <row r="74" spans="2:4">
      <c r="B74">
        <v>72</v>
      </c>
      <c r="C74" t="s">
        <v>609</v>
      </c>
      <c r="D74">
        <f>SUM('Existing perfo + NZBP'!H470:H472)</f>
        <v>16</v>
      </c>
    </row>
    <row r="75" spans="2:4">
      <c r="B75">
        <v>73</v>
      </c>
      <c r="C75" t="s">
        <v>613</v>
      </c>
      <c r="D75">
        <f>SUM('Existing perfo + NZBP'!H473:H475)</f>
        <v>7</v>
      </c>
    </row>
    <row r="76" spans="2:4">
      <c r="B76">
        <v>74</v>
      </c>
      <c r="C76" t="s">
        <v>617</v>
      </c>
      <c r="D76">
        <f>SUM('Existing perfo + NZBP'!H476:H477)</f>
        <v>18</v>
      </c>
    </row>
    <row r="77" spans="2:4">
      <c r="B77">
        <v>75</v>
      </c>
      <c r="C77" t="s">
        <v>620</v>
      </c>
      <c r="D77">
        <f>SUM('Existing perfo + NZBP'!H478:H479)</f>
        <v>29</v>
      </c>
    </row>
    <row r="78" spans="2:4">
      <c r="B78">
        <v>76</v>
      </c>
      <c r="C78" t="s">
        <v>623</v>
      </c>
      <c r="D78">
        <f>SUM('Existing perfo + NZBP'!H480)</f>
        <v>0</v>
      </c>
    </row>
    <row r="79" spans="2:4">
      <c r="B79">
        <v>77</v>
      </c>
      <c r="C79" t="s">
        <v>625</v>
      </c>
      <c r="D79">
        <f>SUM('Existing perfo + NZBP'!H481:H483)</f>
        <v>38</v>
      </c>
    </row>
    <row r="80" spans="2:4">
      <c r="B80">
        <v>78</v>
      </c>
      <c r="C80" t="s">
        <v>629</v>
      </c>
      <c r="D80">
        <f>SUM('Existing perfo + NZBP'!H484:H486)</f>
        <v>38</v>
      </c>
    </row>
    <row r="81" spans="2:4">
      <c r="B81">
        <v>79</v>
      </c>
      <c r="C81" t="s">
        <v>633</v>
      </c>
      <c r="D81">
        <f>SUM('Existing perfo + NZBP'!H487:H489)</f>
        <v>28</v>
      </c>
    </row>
    <row r="82" spans="2:4">
      <c r="B82">
        <v>80</v>
      </c>
      <c r="C82" t="s">
        <v>637</v>
      </c>
      <c r="D82">
        <f>SUM('Existing perfo + NZBP'!H490:H492)</f>
        <v>43</v>
      </c>
    </row>
    <row r="83" spans="2:4">
      <c r="B83">
        <v>81</v>
      </c>
      <c r="C83" t="s">
        <v>641</v>
      </c>
      <c r="D83">
        <f>SUM('Existing perfo + NZBP'!H493:H495)</f>
        <v>39</v>
      </c>
    </row>
    <row r="84" spans="2:4">
      <c r="B84">
        <v>82</v>
      </c>
      <c r="C84" t="s">
        <v>645</v>
      </c>
      <c r="D84">
        <f>SUM('Existing perfo + NZBP'!H496:H499)</f>
        <v>37</v>
      </c>
    </row>
    <row r="85" spans="2:4">
      <c r="B85">
        <v>83</v>
      </c>
      <c r="C85" t="s">
        <v>650</v>
      </c>
      <c r="D85">
        <f>SUM('Existing perfo + NZBP'!H500:H502)</f>
        <v>55</v>
      </c>
    </row>
    <row r="86" spans="2:4">
      <c r="B86">
        <v>84</v>
      </c>
      <c r="C86" t="s">
        <v>654</v>
      </c>
      <c r="D86">
        <f>SUM('Existing perfo + NZBP'!H503:H506)</f>
        <v>31</v>
      </c>
    </row>
    <row r="87" spans="2:4">
      <c r="B87">
        <v>85</v>
      </c>
      <c r="C87" t="s">
        <v>658</v>
      </c>
      <c r="D87">
        <f>SUM('Existing perfo + NZBP'!H507:H512)</f>
        <v>47</v>
      </c>
    </row>
    <row r="88" spans="2:4">
      <c r="B88">
        <v>86</v>
      </c>
      <c r="C88" t="s">
        <v>665</v>
      </c>
      <c r="D88">
        <f>SUM('Existing perfo + NZBP'!H513:H514)</f>
        <v>14</v>
      </c>
    </row>
    <row r="89" spans="2:4">
      <c r="B89">
        <v>87</v>
      </c>
      <c r="C89" t="s">
        <v>668</v>
      </c>
      <c r="D89">
        <f>SUM('Existing perfo + NZBP'!H515:H519)</f>
        <v>46</v>
      </c>
    </row>
    <row r="90" spans="2:4">
      <c r="B90">
        <v>88</v>
      </c>
      <c r="C90" t="s">
        <v>674</v>
      </c>
      <c r="D90">
        <f>SUM('Existing perfo + NZBP'!H520:H524)</f>
        <v>26</v>
      </c>
    </row>
    <row r="91" spans="2:4">
      <c r="B91">
        <v>89</v>
      </c>
      <c r="C91" t="s">
        <v>680</v>
      </c>
      <c r="D91">
        <f>SUM('Existing perfo + NZBP'!H525)</f>
        <v>32</v>
      </c>
    </row>
    <row r="92" spans="2:4">
      <c r="B92">
        <v>90</v>
      </c>
      <c r="C92" t="s">
        <v>682</v>
      </c>
      <c r="D92">
        <f>SUM('Existing perfo + NZBP'!H526)</f>
        <v>0</v>
      </c>
    </row>
    <row r="93" spans="2:4">
      <c r="B93">
        <v>91</v>
      </c>
      <c r="C93" t="s">
        <v>683</v>
      </c>
      <c r="D93">
        <f>SUM('Existing perfo + NZBP'!H527:H528)</f>
        <v>27</v>
      </c>
    </row>
    <row r="94" spans="2:4">
      <c r="B94">
        <v>92</v>
      </c>
      <c r="C94" t="s">
        <v>686</v>
      </c>
      <c r="D94">
        <f>SUM('Existing perfo + NZBP'!H529:H531)</f>
        <v>29</v>
      </c>
    </row>
    <row r="95" spans="2:4">
      <c r="B95">
        <v>93</v>
      </c>
      <c r="C95" t="s">
        <v>690</v>
      </c>
      <c r="D95">
        <f>SUM('Existing perfo + NZBP'!H532:H533)</f>
        <v>31</v>
      </c>
    </row>
    <row r="96" spans="2:4">
      <c r="B96">
        <v>94</v>
      </c>
      <c r="C96" t="s">
        <v>693</v>
      </c>
      <c r="D96">
        <f>SUM('Existing perfo + NZBP'!H534)</f>
        <v>16</v>
      </c>
    </row>
    <row r="97" spans="2:6">
      <c r="B97">
        <v>95</v>
      </c>
      <c r="C97" t="s">
        <v>695</v>
      </c>
      <c r="D97">
        <f>SUM('Existing perfo + NZBP'!H535:H538)</f>
        <v>51</v>
      </c>
    </row>
    <row r="98" spans="2:6">
      <c r="B98">
        <v>96</v>
      </c>
      <c r="C98" t="s">
        <v>700</v>
      </c>
      <c r="D98">
        <f>SUM('Existing perfo + NZBP'!H539:H542)</f>
        <v>34</v>
      </c>
    </row>
    <row r="99" spans="2:6">
      <c r="B99">
        <v>97</v>
      </c>
      <c r="C99" t="s">
        <v>705</v>
      </c>
      <c r="D99">
        <f>SUM('Existing perfo + NZBP'!H543:H549)</f>
        <v>76</v>
      </c>
    </row>
    <row r="100" spans="2:6">
      <c r="B100">
        <v>98</v>
      </c>
      <c r="C100" t="s">
        <v>713</v>
      </c>
      <c r="D100">
        <f>SUM('Existing perfo + NZBP'!H550:H553)</f>
        <v>49</v>
      </c>
    </row>
    <row r="101" spans="2:6">
      <c r="B101">
        <v>99</v>
      </c>
      <c r="C101" t="s">
        <v>718</v>
      </c>
      <c r="D101">
        <f>SUM('Existing perfo + NZBP'!H554:H557)</f>
        <v>20</v>
      </c>
    </row>
    <row r="102" spans="2:6">
      <c r="B102">
        <v>100</v>
      </c>
      <c r="C102" t="s">
        <v>735</v>
      </c>
      <c r="D102">
        <f>'Existing perfo + NZBP'!H558</f>
        <v>8</v>
      </c>
    </row>
    <row r="103" spans="2:6">
      <c r="B103">
        <v>101</v>
      </c>
      <c r="C103" t="s">
        <v>736</v>
      </c>
      <c r="D103">
        <f>SUM('Existing perfo + NZBP'!H559:H562)</f>
        <v>25</v>
      </c>
    </row>
    <row r="110" spans="2:6">
      <c r="D110" t="s">
        <v>731</v>
      </c>
      <c r="E110" t="s">
        <v>732</v>
      </c>
      <c r="F110" t="s">
        <v>733</v>
      </c>
    </row>
    <row r="111" spans="2:6">
      <c r="C111" t="s">
        <v>335</v>
      </c>
      <c r="D111">
        <f>SUM('Existing perfo + NZBP'!H308:H315)</f>
        <v>96</v>
      </c>
      <c r="E111">
        <v>0</v>
      </c>
      <c r="F111">
        <f t="shared" ref="F111:F112" si="1">D111-E111</f>
        <v>96</v>
      </c>
    </row>
    <row r="112" spans="2:6">
      <c r="C112" t="s">
        <v>527</v>
      </c>
      <c r="D112">
        <f>SUM('Existing perfo + NZBP'!H456:H465)</f>
        <v>153</v>
      </c>
      <c r="E112">
        <v>12</v>
      </c>
      <c r="F112">
        <f t="shared" si="1"/>
        <v>141</v>
      </c>
    </row>
    <row r="113" spans="3:6">
      <c r="C113" t="s">
        <v>115</v>
      </c>
      <c r="D113">
        <f>E113+F113</f>
        <v>116</v>
      </c>
      <c r="E113">
        <f>SUM('Existing perfo + NZBP'!H169:H175)</f>
        <v>95</v>
      </c>
      <c r="F113">
        <v>21</v>
      </c>
    </row>
    <row r="114" spans="3:6">
      <c r="C114" t="s">
        <v>136</v>
      </c>
      <c r="D114">
        <f>SUM('Existing perfo + NZBP'!H181:H189)</f>
        <v>49</v>
      </c>
      <c r="E114">
        <f>SUM('Existing perfo + NZBP'!H181:H182)</f>
        <v>9</v>
      </c>
      <c r="F114">
        <f>D114-E114</f>
        <v>40</v>
      </c>
    </row>
    <row r="115" spans="3:6">
      <c r="C115" s="5" t="s">
        <v>144</v>
      </c>
      <c r="D115" s="5">
        <v>39</v>
      </c>
      <c r="E115" s="5">
        <v>0</v>
      </c>
      <c r="F115" s="5">
        <v>39</v>
      </c>
    </row>
  </sheetData>
  <autoFilter ref="C2:F2" xr:uid="{91F3068D-B688-4741-81BA-4E8A68DAE4AE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ad6f6f2-a951-4904-b531-92e1207fc7a5}" enabled="1" method="Standard" siteId="{b7be7686-6f97-4db7-9081-a23cf09a96b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Rafdi Yashelri Masri</dc:creator>
  <cp:keywords/>
  <dc:description/>
  <cp:lastModifiedBy>Rafdi Yashelri Masri</cp:lastModifiedBy>
  <cp:revision/>
  <dcterms:created xsi:type="dcterms:W3CDTF">2026-06-26T09:33:18Z</dcterms:created>
  <dcterms:modified xsi:type="dcterms:W3CDTF">2026-07-15T06:11:58Z</dcterms:modified>
  <cp:category/>
  <cp:contentStatus/>
</cp:coreProperties>
</file>