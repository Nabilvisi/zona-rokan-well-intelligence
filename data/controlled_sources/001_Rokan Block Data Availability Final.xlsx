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halliburton-my.sharepoint.com/personal/nabil_samawi_halliburton_com/Documents/Documents/Idle Well/Final/Complete File Work-CFW/Final Deliverable to Nations - Compilation/"/>
    </mc:Choice>
  </mc:AlternateContent>
  <xr:revisionPtr revIDLastSave="0" documentId="8_{8707CA3C-0045-481B-85FB-B8E150A210A7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Data_Package_Index" sheetId="1" r:id="rId1"/>
    <sheet name="Data_Availability_Matrix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3" l="1"/>
  <c r="E4" i="3"/>
  <c r="F33" i="3"/>
  <c r="E34" i="3"/>
  <c r="E33" i="3"/>
  <c r="D34" i="3"/>
  <c r="D33" i="3"/>
  <c r="C34" i="3"/>
  <c r="F34" i="3" s="1"/>
  <c r="C33" i="3"/>
  <c r="D31" i="3"/>
  <c r="F32" i="3"/>
  <c r="C4" i="3" a="1"/>
  <c r="C4" i="3"/>
  <c r="E63" i="3"/>
  <c r="D63" i="3" a="1"/>
  <c r="D63" i="3"/>
  <c r="F63" i="3" s="1"/>
  <c r="D62" i="3" a="1"/>
  <c r="D62" i="3"/>
  <c r="C63" i="3"/>
  <c r="C62" i="3"/>
  <c r="E62" i="3"/>
  <c r="F62" i="3" s="1"/>
  <c r="D61" i="3" a="1"/>
  <c r="D61" i="3"/>
  <c r="C61" i="3"/>
  <c r="E61" i="3"/>
  <c r="F61" i="3" s="1"/>
  <c r="D60" i="3" a="1"/>
  <c r="D60" i="3"/>
  <c r="C60" i="3"/>
  <c r="E60" i="3"/>
  <c r="F60" i="3" s="1"/>
  <c r="D59" i="3" a="1"/>
  <c r="D59" i="3"/>
  <c r="C59" i="3"/>
  <c r="E59" i="3"/>
  <c r="F59" i="3" s="1"/>
  <c r="D58" i="3" a="1"/>
  <c r="D58" i="3"/>
  <c r="C58" i="3"/>
  <c r="E58" i="3"/>
  <c r="F58" i="3" s="1"/>
  <c r="D57" i="3" a="1"/>
  <c r="D57" i="3"/>
  <c r="C57" i="3"/>
  <c r="E57" i="3"/>
  <c r="F57" i="3" s="1"/>
  <c r="D56" i="3" a="1"/>
  <c r="D56" i="3"/>
  <c r="C56" i="3"/>
  <c r="E56" i="3"/>
  <c r="F56" i="3" s="1"/>
  <c r="D55" i="3" a="1"/>
  <c r="D55" i="3"/>
  <c r="F55" i="3" s="1"/>
  <c r="C55" i="3"/>
  <c r="D48" i="3" a="1"/>
  <c r="D48" i="3"/>
  <c r="D47" i="3" a="1"/>
  <c r="D47" i="3"/>
  <c r="C48" i="3"/>
  <c r="E48" i="3" s="1"/>
  <c r="F48" i="3" s="1"/>
  <c r="C47" i="3"/>
  <c r="E47" i="3" s="1"/>
  <c r="C38" i="3"/>
  <c r="E38" i="3" s="1"/>
  <c r="C14" i="3"/>
  <c r="C10" i="3"/>
  <c r="D10" i="3" s="1"/>
  <c r="C9" i="3"/>
  <c r="D9" i="3" s="1"/>
  <c r="C8" i="3"/>
  <c r="D8" i="3" s="1"/>
  <c r="E55" i="3"/>
  <c r="D54" i="3"/>
  <c r="C54" i="3"/>
  <c r="E54" i="3" s="1"/>
  <c r="D53" i="3"/>
  <c r="C53" i="3"/>
  <c r="E53" i="3" s="1"/>
  <c r="D52" i="3"/>
  <c r="C52" i="3"/>
  <c r="E52" i="3" s="1"/>
  <c r="D51" i="3"/>
  <c r="C51" i="3"/>
  <c r="E51" i="3" s="1"/>
  <c r="D50" i="3"/>
  <c r="C50" i="3"/>
  <c r="E50" i="3" s="1"/>
  <c r="D49" i="3"/>
  <c r="C49" i="3"/>
  <c r="E49" i="3" s="1"/>
  <c r="D46" i="3"/>
  <c r="C46" i="3"/>
  <c r="E46" i="3" s="1"/>
  <c r="D45" i="3"/>
  <c r="C45" i="3"/>
  <c r="E45" i="3" s="1"/>
  <c r="D44" i="3"/>
  <c r="C44" i="3"/>
  <c r="E44" i="3" s="1"/>
  <c r="D43" i="3"/>
  <c r="C43" i="3"/>
  <c r="E43" i="3" s="1"/>
  <c r="D42" i="3"/>
  <c r="C42" i="3"/>
  <c r="E42" i="3" s="1"/>
  <c r="D41" i="3"/>
  <c r="C41" i="3"/>
  <c r="E41" i="3" s="1"/>
  <c r="D40" i="3"/>
  <c r="C40" i="3"/>
  <c r="E40" i="3" s="1"/>
  <c r="D39" i="3"/>
  <c r="C39" i="3"/>
  <c r="E39" i="3" s="1"/>
  <c r="D38" i="3"/>
  <c r="E32" i="3"/>
  <c r="D32" i="3"/>
  <c r="C32" i="3"/>
  <c r="E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F14" i="3" s="1"/>
  <c r="B10" i="3"/>
  <c r="B9" i="3"/>
  <c r="B8" i="3"/>
  <c r="D4" i="3"/>
  <c r="B4" i="3"/>
  <c r="F26" i="3" l="1"/>
  <c r="F44" i="3"/>
  <c r="F51" i="3"/>
  <c r="F17" i="3"/>
  <c r="F29" i="3"/>
  <c r="F46" i="3"/>
  <c r="F40" i="3"/>
  <c r="F38" i="3"/>
  <c r="F53" i="3"/>
  <c r="F43" i="3"/>
  <c r="F50" i="3"/>
  <c r="F19" i="3"/>
  <c r="F31" i="3"/>
  <c r="F15" i="3"/>
  <c r="F27" i="3"/>
  <c r="F16" i="3"/>
  <c r="F20" i="3"/>
  <c r="F41" i="3"/>
  <c r="F47" i="3"/>
  <c r="F54" i="3"/>
  <c r="F24" i="3"/>
  <c r="F28" i="3"/>
  <c r="F45" i="3"/>
  <c r="F21" i="3"/>
  <c r="F25" i="3"/>
  <c r="F42" i="3"/>
  <c r="F52" i="3"/>
  <c r="F18" i="3"/>
  <c r="F22" i="3"/>
  <c r="F30" i="3"/>
  <c r="F23" i="3"/>
  <c r="F39" i="3"/>
  <c r="F4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tc={FE3C645B-1012-48F5-987D-B22B07713664}</author>
  </authors>
  <commentList>
    <comment ref="D2" authorId="0" shapeId="0" xr:uid="{FE3C645B-1012-48F5-987D-B22B0771366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@Nabil Visi Samawi Well Name samaian dengan Table 002 ya (spy konsisten) serta urutannya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tc={93F6A70D-F51D-4670-A953-4EC862F4DD6E}</author>
  </authors>
  <commentList>
    <comment ref="C38" authorId="0" shapeId="0" xr:uid="{93F6A70D-F51D-4670-A953-4EC862F4DD6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@Nabil Visi Samawi Cchek lagi , jumal Well gak 101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<sst xmlns="http://schemas.openxmlformats.org/spreadsheetml/2006/main" count="2649" uniqueCount="263">
  <si>
    <t>REQ Code</t>
  </si>
  <si>
    <t>Data Package Name</t>
  </si>
  <si>
    <t>Data Request Detail</t>
  </si>
  <si>
    <t>Expected Format</t>
  </si>
  <si>
    <t>Decision Use</t>
  </si>
  <si>
    <t>REQ-01</t>
  </si>
  <si>
    <t>Coordinate &amp; Location</t>
  </si>
  <si>
    <t>Wellhead geographic coordinates (latitude/longitude), map datum, elevation, and location relative to lease/block boundaries. Essential for spatial mapping and field development planning.</t>
  </si>
  <si>
    <t>GIS shapefiles, CSV with WGS84 coordinates, scanned location maps</t>
  </si>
  <si>
    <t>Well spacing optimization, drilling location selection, surface facility layout, and environmental impact assessment.</t>
  </si>
  <si>
    <t>REQ-02</t>
  </si>
  <si>
    <t>Well Master &amp; Current Status</t>
  </si>
  <si>
    <t>Comprehensive well registry including well classification, current operational status (producing, shut-in, suspended, abandoned), well type (producer, injector, observation), and regulatory compliance status.</t>
  </si>
  <si>
    <t>Well master database export, regulatory filing records, internal well status reports</t>
  </si>
  <si>
    <t>Portfolio screening, reactivation candidate ranking, regulatory compliance review, and resource allocation prioritization.</t>
  </si>
  <si>
    <t>REQ-03</t>
  </si>
  <si>
    <t>Production History Raw</t>
  </si>
  <si>
    <t>Time-series production data including oil rate, gas rate, water rate, cumulative production, water cut trend, GOR history, and decline curve parameters from first production to present.</t>
  </si>
  <si>
    <t>Monthly production reports, daily gauge readings, database extraction (ODBC), CSV time-series</t>
  </si>
  <si>
    <t>Reserve estimation, decline curve analysis, remaining recoverable volume calculation, and IOR/EOR screening.</t>
  </si>
  <si>
    <t>REQ-04</t>
  </si>
  <si>
    <t>Latest Valid Well Test / Production Test</t>
  </si>
  <si>
    <t>Most recent validated production test results including flow rate measurements, choke settings, bottom-hole flowing pressure, productivity index (PI), and test validation comments.</t>
  </si>
  <si>
    <t>Well test reports (PDF), production test database records, Nodal analysis files</t>
  </si>
  <si>
    <t>Current productivity assessment, well performance benchmarking, artificial lift sizing, and workover candidate selection.</t>
  </si>
  <si>
    <t>REQ-05</t>
  </si>
  <si>
    <t>Pressure Surveillance: SFL / WFL / BHP + Pressure Log</t>
  </si>
  <si>
    <t>Pressure monitoring data including Static Fluid Level (SFL), Working Fluid Level (WFL), Bottom-Hole Pressure (BHP) surveys, pressure buildup/falloff tests, and long-term reservoir pressure trends.</t>
  </si>
  <si>
    <t>Pressure survey reports, DST data, PBU/PFO analysis files, database trend exports</t>
  </si>
  <si>
    <t>Reservoir pressure maintenance evaluation, aquifer support assessment, injection efficiency analysis, and compartmentalization detection.</t>
  </si>
  <si>
    <t>REQ-06</t>
  </si>
  <si>
    <t>Well Schematic / Completion</t>
  </si>
  <si>
    <t>Wellbore schematic showing casing program, completion design, tubing specifications, packer depths, landing nipples, safety valves, and subsurface equipment configuration.</t>
  </si>
  <si>
    <t>Well schematic diagrams (PDF/DWG), completion reports, tubing tally sheets, WellView files</t>
  </si>
  <si>
    <t>Workover planning, recompletion design, tubing-conveyed perforation feasibility, and well integrity assessment.</t>
  </si>
  <si>
    <t>REQ-07</t>
  </si>
  <si>
    <t>Perforation &amp; Zone Data</t>
  </si>
  <si>
    <t>Detailed perforation records including perforated intervals, shot density, phasing, perforation type (tubing-conveyed vs. wireline), and associated formation zones with top/bottom depths.</t>
  </si>
  <si>
    <t>Perforation tables, completion reports, wireline run summaries, database records</t>
  </si>
  <si>
    <t>Zonal production allocation, reperforation candidate identification, water shut-off planning, and stimulation design.</t>
  </si>
  <si>
    <t>REQ-08</t>
  </si>
  <si>
    <t>All Sands in Pay Zone</t>
  </si>
  <si>
    <t>Comprehensive inventory of all sandstone reservoirs in the pay zone section including sand nomenclature, depth intervals, thickness, correlation to regional markers, and stratigraphic framework.</t>
  </si>
  <si>
    <t>Stratigraphic charts, correlation panels, geologic cross-sections, sand inventory tables</t>
  </si>
  <si>
    <t>Undeveloped sand identification, bypassed pay evaluation, infill drilling targeting, and geosteering planning.</t>
  </si>
  <si>
    <t>REQ-09</t>
  </si>
  <si>
    <t>Reservoir / Logs / Petrophysics</t>
  </si>
  <si>
    <t>Petrophysical analysis results including porosity, permeability, water saturation (Sw), net-to-gross (NTG), hydrocarbon saturation (Sh), fluid contacts, and log-derived reservoir quality indicators.</t>
  </si>
  <si>
    <t>Petrophysical evaluation reports, LAS log files, IP software outputs, saturation-height models</t>
  </si>
  <si>
    <t>OOIP/OGIP estimation, STOIIP calculation, reservoir characterization, and simulation model input.</t>
  </si>
  <si>
    <t>REQ-10</t>
  </si>
  <si>
    <t>Reserve / Opportunity Size</t>
  </si>
  <si>
    <t>Reserve estimates (proved, probable, possible) per well/zone, remaining recoverable volumes, opportunity sizing for workovers/reactivations, and economic threshold analysis.</t>
  </si>
  <si>
    <t>Reserve certification reports, opportunity register, economics spreadsheets, management presentations</t>
  </si>
  <si>
    <t>Capital allocation, project prioritization, reserves booking, and investor reporting.</t>
  </si>
  <si>
    <t>REQ-11</t>
  </si>
  <si>
    <t>Artificial Lift / Pump Data</t>
  </si>
  <si>
    <t>Artificial lift system specifications including pump type (ESP, PCP, SRP, gas lift), pump model, setting depth, motor specifications, current operating parameters, and failure history.</t>
  </si>
  <si>
    <t>Pump data sheets, run-life tracking records, vendor reports, SCADA trend data</t>
  </si>
  <si>
    <t>Lift optimization, failure prediction, run-life extension planning, and artificial lift conversion evaluation.</t>
  </si>
  <si>
    <t>REQ-12</t>
  </si>
  <si>
    <t>Integrity / Barrier / HSE</t>
  </si>
  <si>
    <t>Well integrity assessment including barrier status (primary and secondary), casing integrity evaluation, leak-off test results, corrosion assessment, cement bond quality, and HSE risk classification.</t>
  </si>
  <si>
    <t>Well integrity reports, CBL/VDL logs, caliper surveys, risk assessment matrices, barrier schematics</t>
  </si>
  <si>
    <t>Well integrity ranking, workover urgency determination, regulatory compliance, and abandonment planning.</t>
  </si>
  <si>
    <t>REQ-13</t>
  </si>
  <si>
    <t>Workover / Intervention History</t>
  </si>
  <si>
    <t>Historical workover and intervention records including dates, operations performed (wireline, coiled tubing, snubbing), problems encountered, lessons learned, and post-job evaluation results.</t>
  </si>
  <si>
    <t>Workover reports, intervention summaries, AFE documentation, post-job review presentations</t>
  </si>
  <si>
    <t>Workover candidate screening, intervention method selection, risk mitigation, and cost benchmarking.</t>
  </si>
  <si>
    <t>REQ-14</t>
  </si>
  <si>
    <t>Facilities / Access / Utilities</t>
  </si>
  <si>
    <t>Surface facilities information including flowline connections, separator capacity, power supply, access road conditions, well pad layout, and utility availability (water, fuel, communications).</t>
  </si>
  <si>
    <t>Facility diagrams, infrastructure maps, site survey reports, utility connection records</t>
  </si>
  <si>
    <t>Reactivation feasibility, facility upgrade requirements, access planning, and OPEX estimation.</t>
  </si>
  <si>
    <t>REQ-15</t>
  </si>
  <si>
    <t>Economics / AFE / Commercial</t>
  </si>
  <si>
    <t>Economic evaluation including AFE (Authorization for Expenditure) history, cost estimates for reactivation/workover, revenue projections, contract terms, PSC (Production Sharing Contract) obligations, and NPV analysis.</t>
  </si>
  <si>
    <t>Economic models (spreadsheet), AFE documents, PSC contractual terms, financial approval records</t>
  </si>
  <si>
    <t>Project economics validation, investment decision-making, budget planning, and PSC compliance.</t>
  </si>
  <si>
    <t>REQ-16</t>
  </si>
  <si>
    <t>Final Well File &amp; Drilling Reports</t>
  </si>
  <si>
    <t>Complete drilling documentation including daily drilling reports, end-of-well reports, drilling problems encountered, mud properties, directional survey data, and final well completion summary.</t>
  </si>
  <si>
    <t>Drilling reports (PDF), directional survey files, daily activity reports, end-of-well summaries</t>
  </si>
  <si>
    <t>Sidetrack feasibility, wellbore stability analysis, drilling hazard mitigation, and well reconstruction.</t>
  </si>
  <si>
    <t>REQ-17</t>
  </si>
  <si>
    <t>Mudlogging / Lithology / Hydrocarbon Shows</t>
  </si>
  <si>
    <t>Mudlogging data including lithological description, drilling rate (ROP), gas readings (total gas, chromatography), hydrocarbon shows, oil staining observations, and geological markers penetrated.</t>
  </si>
  <si>
    <t>Mudlog prints (PDF), lithology databases, chromatograph data, show evaluation reports</t>
  </si>
  <si>
    <t>Formation evaluation, pay zone confirmation, regional correlation, and exploration prospect assessment.</t>
  </si>
  <si>
    <t>REQ-18</t>
  </si>
  <si>
    <t>Wireline Log LAS Data</t>
  </si>
  <si>
    <t>Digital wireline log data in LAS (Log ASCII Standard) format including gamma ray, resistivity, density, neutron, sonic, caliper, SP, and any specialty logs (NMR, image logs).</t>
  </si>
  <si>
    <t>LAS 2.0/3.0 files, DLIS format, log header summaries, log quality control reports</t>
  </si>
  <si>
    <t>Petrophysical re-evaluation, log-based surveillance, multi-well log correlation, and machine learning input.</t>
  </si>
  <si>
    <t>REQ-19</t>
  </si>
  <si>
    <t>DST, Fluid &amp; Production-Test Analysis</t>
  </si>
  <si>
    <t>Drill Stem Test (DST) results including flow rates, pressure transient analysis, fluid samples (oil, gas, water), PVT properties, well test interpretation (skin, permeability, reservoir boundaries).</t>
  </si>
  <si>
    <t>DST reports, PVT laboratory reports, fluid analysis certificates, pressure transient analysis files</t>
  </si>
  <si>
    <t>Reservoir characterization, fluid model calibration, productivity forecast, and surface facility design.</t>
  </si>
  <si>
    <t>REQ-20</t>
  </si>
  <si>
    <t>Core / Lab / Geoscience Analysis</t>
  </si>
  <si>
    <t>Core analysis data including routine core analysis (porosity, permeability, grain density), special core analysis (relative permeability, capillary pressure, wettability), thin section descriptions, and geochemical analysis.</t>
  </si>
  <si>
    <t>Core analysis reports, SCAL data packages, thin section photos, geochemistry lab reports</t>
  </si>
  <si>
    <t>Reservoir quality ground-truthing, SCAL input for simulation, geological model calibration, and IOR/EOR screening.</t>
  </si>
  <si>
    <t>REQ-21</t>
  </si>
  <si>
    <t>Directional Survey Data</t>
  </si>
  <si>
    <t>Directional survey data including measured depth (MD), inclination, azimuth, true vertical depth (TVD), northing/easting coordinates, dogleg severity, survey stations, and well trajectory information for all drilled wells.</t>
  </si>
  <si>
    <t>Directional survey reports, deviation survey files, well trajectory data in tabular format, and digital survey files such as Excel, CSV, LAS, or equivalent formats.</t>
  </si>
  <si>
    <t>Wellbore trajectory validation, accurate well positioning, structural and reservoir model calibration, geosteering review, collision avoidance assessment, and integration with seismic, geological, and reservoir engineering workflows.</t>
  </si>
  <si>
    <t>ZONE ROKAN — WELL-BY-WELL DATA PACKAGE AVAILABILITY MATRIX (101 Wells)</t>
  </si>
  <si>
    <t>Zone</t>
  </si>
  <si>
    <t>#</t>
  </si>
  <si>
    <t>Field</t>
  </si>
  <si>
    <t>Well Name</t>
  </si>
  <si>
    <t>Zona Rokan</t>
  </si>
  <si>
    <t>Balam Se</t>
  </si>
  <si>
    <t>BLSE00020</t>
  </si>
  <si>
    <t>Available</t>
  </si>
  <si>
    <t>Missing</t>
  </si>
  <si>
    <t>Partial: Not Comprehensive</t>
  </si>
  <si>
    <t>vertical</t>
  </si>
  <si>
    <t>Bangko</t>
  </si>
  <si>
    <t>BNKO000149</t>
  </si>
  <si>
    <t>BNKO00014</t>
  </si>
  <si>
    <t>Bekasap So</t>
  </si>
  <si>
    <t>BESO00002</t>
  </si>
  <si>
    <t>Benar</t>
  </si>
  <si>
    <t>BENA00010</t>
  </si>
  <si>
    <t>Candi</t>
  </si>
  <si>
    <t>CAND00006D1</t>
  </si>
  <si>
    <t>Duri</t>
  </si>
  <si>
    <t>DURI04043</t>
  </si>
  <si>
    <t>DURI04052</t>
  </si>
  <si>
    <t>DURI04055</t>
  </si>
  <si>
    <t>DURI04060</t>
  </si>
  <si>
    <t>DURI04064</t>
  </si>
  <si>
    <t>DURI04072</t>
  </si>
  <si>
    <t>DURI04080</t>
  </si>
  <si>
    <t>DURI04082</t>
  </si>
  <si>
    <t>DURI04084</t>
  </si>
  <si>
    <t>DURI04091</t>
  </si>
  <si>
    <t>DURI04133</t>
  </si>
  <si>
    <t>DURI04136</t>
  </si>
  <si>
    <t>DURI04185</t>
  </si>
  <si>
    <t>DURI04188</t>
  </si>
  <si>
    <t>DURI04199</t>
  </si>
  <si>
    <t>DURI04206</t>
  </si>
  <si>
    <t>DURI04212</t>
  </si>
  <si>
    <t>DURI04226</t>
  </si>
  <si>
    <t>DURI04233</t>
  </si>
  <si>
    <t>DURI04252</t>
  </si>
  <si>
    <t>DURI04256</t>
  </si>
  <si>
    <t>DURI04258</t>
  </si>
  <si>
    <t>DURI04282</t>
  </si>
  <si>
    <t>DURI04285</t>
  </si>
  <si>
    <t>DURI04288</t>
  </si>
  <si>
    <t>DURI04290</t>
  </si>
  <si>
    <t>DURI04317</t>
  </si>
  <si>
    <t>DURI04319</t>
  </si>
  <si>
    <t>DURI04323</t>
  </si>
  <si>
    <t>DURI04332</t>
  </si>
  <si>
    <t>DURI04831</t>
  </si>
  <si>
    <t>DURI04862</t>
  </si>
  <si>
    <t>DURI04864</t>
  </si>
  <si>
    <t>DURI04867</t>
  </si>
  <si>
    <t>DURI04875</t>
  </si>
  <si>
    <t>DURI05060</t>
  </si>
  <si>
    <t>DURI05106</t>
  </si>
  <si>
    <t>DURI05160</t>
  </si>
  <si>
    <t>DURI05175</t>
  </si>
  <si>
    <t>DURI05219</t>
  </si>
  <si>
    <t>DURI05227</t>
  </si>
  <si>
    <t>DURI05231</t>
  </si>
  <si>
    <t>Fajar</t>
  </si>
  <si>
    <t>FAJA00002D1</t>
  </si>
  <si>
    <t>Gulamo</t>
  </si>
  <si>
    <t>GULA00001</t>
  </si>
  <si>
    <t>GULA00002</t>
  </si>
  <si>
    <t>Intan</t>
  </si>
  <si>
    <t>INTA00004</t>
  </si>
  <si>
    <t>Jorang</t>
  </si>
  <si>
    <t>JORA00019</t>
  </si>
  <si>
    <t>JORA00020</t>
  </si>
  <si>
    <t>JORA00025</t>
  </si>
  <si>
    <t>Kelok</t>
  </si>
  <si>
    <t>KELO00002D1</t>
  </si>
  <si>
    <t>KELO00007D1</t>
  </si>
  <si>
    <t>KELO00008D1</t>
  </si>
  <si>
    <t>KELO00009D1</t>
  </si>
  <si>
    <t>Kerang</t>
  </si>
  <si>
    <t>KERA00002</t>
  </si>
  <si>
    <t>KERA00009</t>
  </si>
  <si>
    <t>Kopar</t>
  </si>
  <si>
    <t>KOPA00011D1</t>
  </si>
  <si>
    <t>KOPA00013D1</t>
  </si>
  <si>
    <t>KOPA00014D1</t>
  </si>
  <si>
    <t>KOPA00021D1</t>
  </si>
  <si>
    <t>KOPA00024</t>
  </si>
  <si>
    <t>KOPA00031H1</t>
  </si>
  <si>
    <t>KOPA00032H1</t>
  </si>
  <si>
    <t>KOPA00033D1</t>
  </si>
  <si>
    <t>KOPA00039H1</t>
  </si>
  <si>
    <t>Libo</t>
  </si>
  <si>
    <t>LIBO00012</t>
  </si>
  <si>
    <t>LIBO00016</t>
  </si>
  <si>
    <t>Libo Se</t>
  </si>
  <si>
    <t>LISE00046D1</t>
  </si>
  <si>
    <t>Minas</t>
  </si>
  <si>
    <t>MINA00526</t>
  </si>
  <si>
    <t>MINA01255D1</t>
  </si>
  <si>
    <t>MINA01258D1</t>
  </si>
  <si>
    <t>MINA01903D1</t>
  </si>
  <si>
    <t>MINA01929D1</t>
  </si>
  <si>
    <t>MINA01952D1</t>
  </si>
  <si>
    <t>Oki</t>
  </si>
  <si>
    <t>OKI_00003</t>
  </si>
  <si>
    <t>Pager</t>
  </si>
  <si>
    <t>PAGE00006</t>
  </si>
  <si>
    <t>PAGE00013</t>
  </si>
  <si>
    <t>Pematang Bow</t>
  </si>
  <si>
    <t>PEBO00002</t>
  </si>
  <si>
    <t>PEBO00003</t>
  </si>
  <si>
    <t>PEBO00018</t>
  </si>
  <si>
    <t>PEBO00023</t>
  </si>
  <si>
    <t>Pemburu</t>
  </si>
  <si>
    <t>PEMB00024</t>
  </si>
  <si>
    <t>Penasa</t>
  </si>
  <si>
    <t>PENA00005D1</t>
  </si>
  <si>
    <t>Petani</t>
  </si>
  <si>
    <t>PETA00049</t>
  </si>
  <si>
    <t>Petapahan</t>
  </si>
  <si>
    <t>PETP00024</t>
  </si>
  <si>
    <t>PETP00049D1</t>
  </si>
  <si>
    <t>Puncak</t>
  </si>
  <si>
    <t>PUNC00006</t>
  </si>
  <si>
    <t>PUNC00010</t>
  </si>
  <si>
    <t>PUNC00022</t>
  </si>
  <si>
    <t>PUNC00023</t>
  </si>
  <si>
    <t>PUNC00031</t>
  </si>
  <si>
    <t>PUNC00032D1</t>
  </si>
  <si>
    <t>PUNC00033</t>
  </si>
  <si>
    <t>Pungut</t>
  </si>
  <si>
    <t>PUNG00007</t>
  </si>
  <si>
    <t>PUNG00009</t>
  </si>
  <si>
    <t>Singa</t>
  </si>
  <si>
    <t>SING00001</t>
  </si>
  <si>
    <t>ROKAN BLOCK — DATA AVAILABILITY EXECUTIVE SUMMARY</t>
  </si>
  <si>
    <t>Total Wells</t>
  </si>
  <si>
    <t>Total Fields</t>
  </si>
  <si>
    <t>REQ Categories</t>
  </si>
  <si>
    <t>Total Data Points</t>
  </si>
  <si>
    <t>Overall Data Availability Distribution</t>
  </si>
  <si>
    <t>Status</t>
  </si>
  <si>
    <t>Count</t>
  </si>
  <si>
    <t>Percentage</t>
  </si>
  <si>
    <t>Per-REQ Availability Breakdown</t>
  </si>
  <si>
    <t>Partial</t>
  </si>
  <si>
    <t>Avail. Rate</t>
  </si>
  <si>
    <t>Field-Level Availability Summary</t>
  </si>
  <si>
    <t>Well Count</t>
  </si>
  <si>
    <t>Available Data</t>
  </si>
  <si>
    <t>Total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</si>
</sst>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color rgb="FF92400E"/>
      <name val="Arial"/>
      <family val="2"/>
    </font>
    <font>
      <b/>
      <sz val="11"/>
      <color rgb="FF991B1B"/>
      <name val="Arial"/>
      <family val="2"/>
    </font>
    <font>
      <b/>
      <sz val="11"/>
      <color rgb="FF166534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10"/>
      <color rgb="FF666666"/>
      <name val="Arial"/>
      <family val="2"/>
    </font>
    <font>
      <b/>
      <sz val="20"/>
      <color rgb="FFC00000"/>
      <name val="Arial"/>
      <family val="2"/>
    </font>
    <font>
      <b/>
      <sz val="11"/>
      <color theme="1"/>
      <name val="Calibri"/>
    </font>
    <font>
      <sz val="11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9F9F9"/>
        <bgColor rgb="FFF9F9F9"/>
      </patternFill>
    </fill>
    <fill>
      <patternFill patternType="solid">
        <fgColor rgb="FF333333"/>
        <bgColor rgb="FF333333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4" fillId="9" borderId="4" xfId="0" applyFont="1" applyFill="1" applyBorder="1" applyAlignment="1">
      <alignment horizontal="left" vertical="center" wrapText="1"/>
    </xf>
    <xf numFmtId="0" fontId="14" fillId="10" borderId="4" xfId="0" applyFont="1" applyFill="1" applyBorder="1" applyAlignment="1">
      <alignment horizontal="left" vertical="center" wrapText="1"/>
    </xf>
    <xf numFmtId="0" fontId="14" fillId="11" borderId="4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2" fillId="1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5" fillId="13" borderId="0" xfId="0" applyFont="1" applyFill="1"/>
    <xf numFmtId="0" fontId="1" fillId="5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164" fontId="7" fillId="7" borderId="7" xfId="0" applyNumberFormat="1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164" fontId="8" fillId="8" borderId="7" xfId="0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2" fillId="4" borderId="7" xfId="0" applyFont="1" applyFill="1" applyBorder="1" applyAlignment="1"/>
  </cellXfs>
  <cellStyles count="1">
    <cellStyle name="Normal" xfId="0" builtinId="0"/>
  </cellStyles>
  <dxfs count="55">
    <dxf>
      <font>
        <color rgb="FF999999"/>
      </font>
      <fill>
        <patternFill patternType="solid">
          <fgColor rgb="FFF9F9F9"/>
          <bgColor rgb="FFF9F9F9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  <dxf>
      <font>
        <b/>
        <color rgb="FF991B1B"/>
      </font>
      <fill>
        <patternFill patternType="solid">
          <fgColor rgb="FFF4CCCC"/>
          <bgColor rgb="FFF4CCCC"/>
        </patternFill>
      </fill>
    </dxf>
    <dxf>
      <font>
        <b/>
        <color rgb="FF92400E"/>
      </font>
      <fill>
        <patternFill patternType="solid">
          <fgColor rgb="FFFFF2CC"/>
          <bgColor rgb="FFFFF2CC"/>
        </patternFill>
      </fill>
    </dxf>
    <dxf>
      <font>
        <b/>
        <color rgb="FF166534"/>
      </font>
      <fill>
        <patternFill patternType="solid">
          <fgColor rgb="FFD9EAD3"/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Data Availability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Dashboard!$B$8:$B$10</c:f>
              <c:strCache>
                <c:ptCount val="3"/>
                <c:pt idx="0">
                  <c:v>Available</c:v>
                </c:pt>
                <c:pt idx="1">
                  <c:v>Partial: Not Comprehensive</c:v>
                </c:pt>
                <c:pt idx="2">
                  <c:v>Missing</c:v>
                </c:pt>
              </c:strCache>
            </c:strRef>
          </c:cat>
          <c:val>
            <c:numRef>
              <c:f>Dashboard!$C$8:$C$10</c:f>
              <c:numCache>
                <c:formatCode>General</c:formatCode>
                <c:ptCount val="3"/>
                <c:pt idx="0">
                  <c:v>492</c:v>
                </c:pt>
                <c:pt idx="1">
                  <c:v>342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7-4CD6-8A5F-1547ACE9ED0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4.8638888888889514E-3"/>
          <c:y val="0.76767222222222231"/>
          <c:w val="0.32485833333333336"/>
          <c:h val="0.1913775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Available Wells per REQ Category</a:t>
            </a:r>
          </a:p>
        </c:rich>
      </c:tx>
      <c:layout>
        <c:manualLayout>
          <c:xMode val="edge"/>
          <c:yMode val="edge"/>
          <c:x val="0.32637871796637663"/>
          <c:y val="7.5593952483801297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Dashboard!$C$13</c:f>
              <c:strCache>
                <c:ptCount val="1"/>
                <c:pt idx="0">
                  <c:v>Available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Dashboard!$B$14:$B$34</c:f>
              <c:strCache>
                <c:ptCount val="21"/>
                <c:pt idx="0">
                  <c:v>REQ-01</c:v>
                </c:pt>
                <c:pt idx="1">
                  <c:v>REQ-02</c:v>
                </c:pt>
                <c:pt idx="2">
                  <c:v>REQ-03</c:v>
                </c:pt>
                <c:pt idx="3">
                  <c:v>REQ-04</c:v>
                </c:pt>
                <c:pt idx="4">
                  <c:v>REQ-05</c:v>
                </c:pt>
                <c:pt idx="5">
                  <c:v>REQ-06</c:v>
                </c:pt>
                <c:pt idx="6">
                  <c:v>REQ-07</c:v>
                </c:pt>
                <c:pt idx="7">
                  <c:v>REQ-08</c:v>
                </c:pt>
                <c:pt idx="8">
                  <c:v>REQ-09</c:v>
                </c:pt>
                <c:pt idx="9">
                  <c:v>REQ-10</c:v>
                </c:pt>
                <c:pt idx="10">
                  <c:v>REQ-11</c:v>
                </c:pt>
                <c:pt idx="11">
                  <c:v>REQ-12</c:v>
                </c:pt>
                <c:pt idx="12">
                  <c:v>REQ-13</c:v>
                </c:pt>
                <c:pt idx="13">
                  <c:v>REQ-14</c:v>
                </c:pt>
                <c:pt idx="14">
                  <c:v>REQ-15</c:v>
                </c:pt>
                <c:pt idx="15">
                  <c:v>REQ-16</c:v>
                </c:pt>
                <c:pt idx="16">
                  <c:v>REQ-17</c:v>
                </c:pt>
                <c:pt idx="17">
                  <c:v>REQ-18</c:v>
                </c:pt>
                <c:pt idx="18">
                  <c:v>REQ-19</c:v>
                </c:pt>
                <c:pt idx="19">
                  <c:v>REQ-20</c:v>
                </c:pt>
                <c:pt idx="20">
                  <c:v>REQ-21</c:v>
                </c:pt>
              </c:strCache>
            </c:strRef>
          </c:cat>
          <c:val>
            <c:numRef>
              <c:f>Dashboard!$C$14:$C$34</c:f>
              <c:numCache>
                <c:formatCode>General</c:formatCode>
                <c:ptCount val="21"/>
                <c:pt idx="0">
                  <c:v>69</c:v>
                </c:pt>
                <c:pt idx="1">
                  <c:v>0</c:v>
                </c:pt>
                <c:pt idx="2">
                  <c:v>52</c:v>
                </c:pt>
                <c:pt idx="3">
                  <c:v>0</c:v>
                </c:pt>
                <c:pt idx="4">
                  <c:v>0</c:v>
                </c:pt>
                <c:pt idx="5">
                  <c:v>98</c:v>
                </c:pt>
                <c:pt idx="6">
                  <c:v>71</c:v>
                </c:pt>
                <c:pt idx="7">
                  <c:v>0</c:v>
                </c:pt>
                <c:pt idx="8">
                  <c:v>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90</c:v>
                </c:pt>
                <c:pt idx="16">
                  <c:v>0</c:v>
                </c:pt>
                <c:pt idx="17">
                  <c:v>52</c:v>
                </c:pt>
                <c:pt idx="18">
                  <c:v>0</c:v>
                </c:pt>
                <c:pt idx="19">
                  <c:v>0</c:v>
                </c:pt>
                <c:pt idx="2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37-41D8-8D27-6862089DE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REQ Category</a:t>
                </a:r>
              </a:p>
            </c:rich>
          </c:tx>
          <c:layout>
            <c:manualLayout>
              <c:xMode val="edge"/>
              <c:yMode val="edge"/>
              <c:x val="0.43197948470726866"/>
              <c:y val="0.8840711325771104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Well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ocumenttasks/documenttask1.xml><?xml version="1.0" encoding="utf-8"?>
<Tasks xmlns="http://schemas.microsoft.com/office/tasks/2019/documenttasks">
  <Task id="{C16E4131-D16E-4677-AD31-7D2994BB7D82}">
    <Anchor>
      <Comment id="{FE3C645B-1012-48F5-987D-B22B07713664}"/>
    </Anchor>
    <History>
      <Event time="2026-07-03T02:27:24.93" id="{CD627098-0DBE-4C36-956D-9C6D375F76BC}">
        <Attribution userId="S::Ridho.Affandi@halliburton.com::71180804-384a-4f12-9394-f43333323e26" userName="Ridho Affandi" userProvider="AD"/>
        <Anchor>
          <Comment id="{FE3C645B-1012-48F5-987D-B22B07713664}"/>
        </Anchor>
        <Create/>
      </Event>
      <Event time="2026-07-03T02:27:24.93" id="{3CB94907-9AF4-4CCF-8B99-2D5308150EC9}">
        <Attribution userId="S::Ridho.Affandi@halliburton.com::71180804-384a-4f12-9394-f43333323e26" userName="Ridho Affandi" userProvider="AD"/>
        <Anchor>
          <Comment id="{FE3C645B-1012-48F5-987D-B22B07713664}"/>
        </Anchor>
        <Assign userId="S::Nabil.Samawi@halliburton.com::ef271e67-f40f-4346-a54f-ffc1acae8229" userName="Nabil Visi Samawi" userProvider="AD"/>
      </Event>
      <Event time="2026-07-03T02:27:24.93" id="{7B2A539B-C979-48AA-8272-3E7F69A0EDAE}">
        <Attribution userId="S::Ridho.Affandi@halliburton.com::71180804-384a-4f12-9394-f43333323e26" userName="Ridho Affandi" userProvider="AD"/>
        <Anchor>
          <Comment id="{FE3C645B-1012-48F5-987D-B22B07713664}"/>
        </Anchor>
        <SetTitle title="@Nabil Visi Samawi Well Name samaian dengan Table 002 ya (spy konsisten) serta urutannya"/>
      </Event>
      <Event time="2026-07-03T07:54:47.55" id="{35A826C3-2841-4905-A5D7-80DF9EB20889}">
        <Attribution userId="S::Nabil.Samawi@halliburton.com::ef271e67-f40f-4346-a54f-ffc1acae8229" userName="Nabil Visi Samawi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22968FD8-BD36-4553-A488-81B45BA7735E}">
    <Anchor>
      <Comment id="{93F6A70D-F51D-4670-A953-4EC862F4DD6E}"/>
    </Anchor>
    <History>
      <Event time="2026-07-03T02:32:32.80" id="{4E591111-1CB6-4C16-AA0B-6CAEDDD1BD89}">
        <Attribution userId="S::Ridho.Affandi@halliburton.com::71180804-384a-4f12-9394-f43333323e26" userName="Ridho Affandi" userProvider="AD"/>
        <Anchor>
          <Comment id="{93F6A70D-F51D-4670-A953-4EC862F4DD6E}"/>
        </Anchor>
        <Create/>
      </Event>
      <Event time="2026-07-03T02:32:32.80" id="{03F4BD44-CAA5-4B64-B8B3-6264954A4D88}">
        <Attribution userId="S::Ridho.Affandi@halliburton.com::71180804-384a-4f12-9394-f43333323e26" userName="Ridho Affandi" userProvider="AD"/>
        <Anchor>
          <Comment id="{93F6A70D-F51D-4670-A953-4EC862F4DD6E}"/>
        </Anchor>
        <Assign userId="S::Nabil.Samawi@halliburton.com::ef271e67-f40f-4346-a54f-ffc1acae8229" userName="Nabil Visi Samawi" userProvider="AD"/>
      </Event>
      <Event time="2026-07-03T02:32:32.80" id="{56A52D1D-267F-4884-A7C1-0F48670DD51A}">
        <Attribution userId="S::Ridho.Affandi@halliburton.com::71180804-384a-4f12-9394-f43333323e26" userName="Ridho Affandi" userProvider="AD"/>
        <Anchor>
          <Comment id="{93F6A70D-F51D-4670-A953-4EC862F4DD6E}"/>
        </Anchor>
        <SetTitle title="@Nabil Visi Samawi Cchek lagi , jumal Well gak 101"/>
      </Event>
      <Event time="2026-07-03T08:17:42.45" id="{CC9A4EE3-63A7-4F3F-AED7-5745ED4B334C}">
        <Attribution userId="S::Nabil.Samawi@halliburton.com::ef271e67-f40f-4346-a54f-ffc1acae8229" userName="Nabil Visi Samawi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0</xdr:row>
      <xdr:rowOff>0</xdr:rowOff>
    </xdr:from>
    <xdr:ext cx="12506325" cy="4191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12592050" cy="51530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bil Visi Samawi" id="{477123BD-9D00-453E-8835-B4F1F97A02DD}" userId="Nabil.Samawi@halliburton.com" providerId="PeoplePicker"/>
  <person displayName="Ridho Affandi" id="{16E84E23-B8F7-41F3-B330-4A8BCDE768C3}" userId="S::Ridho.Affandi@halliburton.com::71180804-384a-4f12-9394-f43333323e2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7-03T02:27:24.93" personId="{16E84E23-B8F7-41F3-B330-4A8BCDE768C3}" id="{FE3C645B-1012-48F5-987D-B22B07713664}" done="1">
    <text>@Nabil Visi Samawi Well Name samaian dengan Table 002 ya (spy konsisten) serta urutannya</text>
    <mentions>
      <mention mentionpersonId="{477123BD-9D00-453E-8835-B4F1F97A02DD}" mentionId="{B6AFC473-55DA-403B-B392-54870D253144}" startIndex="0" length="18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8" dT="2026-07-03T02:32:32.80" personId="{16E84E23-B8F7-41F3-B330-4A8BCDE768C3}" id="{93F6A70D-F51D-4670-A953-4EC862F4DD6E}" done="1">
    <text>@Nabil Visi Samawi Cchek lagi , jumal Well gak 101</text>
    <mentions>
      <mention mentionpersonId="{477123BD-9D00-453E-8835-B4F1F97A02DD}" mentionId="{95D03BCD-7657-41ED-A571-9D56EF4903F9}" startIndex="0" length="18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E22"/>
  <sheetViews>
    <sheetView workbookViewId="0">
      <pane ySplit="1" topLeftCell="A17" activePane="bottomLeft" state="frozen"/>
      <selection pane="bottomLeft" activeCell="H5" sqref="H5"/>
    </sheetView>
  </sheetViews>
  <sheetFormatPr defaultColWidth="8.85546875" defaultRowHeight="11.45"/>
  <cols>
    <col min="1" max="1" width="16.140625" style="3" customWidth="1"/>
    <col min="2" max="2" width="44.85546875" style="3" customWidth="1"/>
    <col min="3" max="3" width="72.28515625" style="3" customWidth="1"/>
    <col min="4" max="4" width="47.28515625" style="3" customWidth="1"/>
    <col min="5" max="5" width="50" style="3" customWidth="1"/>
    <col min="6" max="16384" width="8.85546875" style="3"/>
  </cols>
  <sheetData>
    <row r="1" spans="1:5" ht="19.89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.1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34.1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34.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ht="34.1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spans="1:5" ht="34.15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spans="1:5" ht="34.15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spans="1:5" ht="34.15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</row>
    <row r="9" spans="1:5" ht="34.15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</row>
    <row r="10" spans="1:5" ht="34.15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</row>
    <row r="11" spans="1:5" ht="34.1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</row>
    <row r="12" spans="1:5" ht="34.15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</row>
    <row r="13" spans="1:5" ht="34.1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</row>
    <row r="14" spans="1:5" ht="34.15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</row>
    <row r="15" spans="1:5" ht="34.1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</row>
    <row r="16" spans="1:5" ht="45.6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79</v>
      </c>
    </row>
    <row r="17" spans="1:5" ht="34.1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84</v>
      </c>
    </row>
    <row r="18" spans="1:5" ht="34.15">
      <c r="A18" s="4" t="s">
        <v>85</v>
      </c>
      <c r="B18" s="4" t="s">
        <v>86</v>
      </c>
      <c r="C18" s="4" t="s">
        <v>87</v>
      </c>
      <c r="D18" s="4" t="s">
        <v>88</v>
      </c>
      <c r="E18" s="4" t="s">
        <v>89</v>
      </c>
    </row>
    <row r="19" spans="1:5" ht="34.1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94</v>
      </c>
    </row>
    <row r="20" spans="1:5" ht="34.15">
      <c r="A20" s="4" t="s">
        <v>95</v>
      </c>
      <c r="B20" s="4" t="s">
        <v>96</v>
      </c>
      <c r="C20" s="4" t="s">
        <v>97</v>
      </c>
      <c r="D20" s="4" t="s">
        <v>98</v>
      </c>
      <c r="E20" s="4" t="s">
        <v>99</v>
      </c>
    </row>
    <row r="21" spans="1:5" ht="45.6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104</v>
      </c>
    </row>
    <row r="22" spans="1:5" ht="44.25">
      <c r="A22" s="28" t="s">
        <v>105</v>
      </c>
      <c r="B22" s="29" t="s">
        <v>106</v>
      </c>
      <c r="C22" s="30" t="s">
        <v>107</v>
      </c>
      <c r="D22" s="30" t="s">
        <v>108</v>
      </c>
      <c r="E22" s="30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Y104"/>
  <sheetViews>
    <sheetView workbookViewId="0">
      <pane xSplit="4" ySplit="3" topLeftCell="E61" activePane="bottomRight" state="frozen"/>
      <selection pane="bottomRight" activeCell="A4" sqref="A4"/>
      <selection pane="bottomLeft"/>
      <selection pane="topRight"/>
    </sheetView>
  </sheetViews>
  <sheetFormatPr defaultColWidth="8.85546875" defaultRowHeight="11.45"/>
  <cols>
    <col min="1" max="1" width="14.42578125" style="8" customWidth="1"/>
    <col min="2" max="2" width="6" style="8" customWidth="1"/>
    <col min="3" max="3" width="13" style="8" customWidth="1"/>
    <col min="4" max="4" width="14" style="8" customWidth="1"/>
    <col min="5" max="5" width="28.85546875" style="3" customWidth="1"/>
    <col min="6" max="6" width="14.28515625" style="3" customWidth="1"/>
    <col min="7" max="7" width="26.85546875" style="3" customWidth="1"/>
    <col min="8" max="8" width="28.7109375" style="3" customWidth="1"/>
    <col min="9" max="9" width="25.140625" style="3" customWidth="1"/>
    <col min="10" max="10" width="26.28515625" style="3" customWidth="1"/>
    <col min="11" max="11" width="37" style="3" customWidth="1"/>
    <col min="12" max="12" width="28.7109375" style="3" customWidth="1"/>
    <col min="13" max="13" width="29" style="3" customWidth="1"/>
    <col min="14" max="14" width="21.28515625" style="3" customWidth="1"/>
    <col min="15" max="15" width="32.85546875" style="3" customWidth="1"/>
    <col min="16" max="16" width="29.7109375" style="3" customWidth="1"/>
    <col min="17" max="17" width="26.85546875" style="3" customWidth="1"/>
    <col min="18" max="18" width="21.85546875" style="3" customWidth="1"/>
    <col min="19" max="19" width="24.85546875" style="3" customWidth="1"/>
    <col min="20" max="20" width="31.85546875" style="3" customWidth="1"/>
    <col min="21" max="21" width="28" style="3" customWidth="1"/>
    <col min="22" max="22" width="28.7109375" style="3" customWidth="1"/>
    <col min="23" max="23" width="28.5703125" style="3" customWidth="1"/>
    <col min="24" max="24" width="31.5703125" style="3" customWidth="1"/>
    <col min="25" max="25" width="15.7109375" style="3" customWidth="1"/>
    <col min="26" max="16384" width="8.85546875" style="3"/>
  </cols>
  <sheetData>
    <row r="1" spans="1:25" ht="24.95" customHeight="1">
      <c r="A1" s="38" t="s">
        <v>110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1:25" ht="28.9" customHeight="1">
      <c r="A2" s="36" t="s">
        <v>111</v>
      </c>
      <c r="B2" s="36" t="s">
        <v>112</v>
      </c>
      <c r="C2" s="36" t="s">
        <v>113</v>
      </c>
      <c r="D2" s="36" t="s">
        <v>114</v>
      </c>
      <c r="E2" s="5" t="s">
        <v>5</v>
      </c>
      <c r="F2" s="5" t="s">
        <v>10</v>
      </c>
      <c r="G2" s="5" t="s">
        <v>15</v>
      </c>
      <c r="H2" s="5" t="s">
        <v>20</v>
      </c>
      <c r="I2" s="5" t="s">
        <v>25</v>
      </c>
      <c r="J2" s="5" t="s">
        <v>30</v>
      </c>
      <c r="K2" s="5" t="s">
        <v>35</v>
      </c>
      <c r="L2" s="5" t="s">
        <v>40</v>
      </c>
      <c r="M2" s="5" t="s">
        <v>45</v>
      </c>
      <c r="N2" s="5" t="s">
        <v>50</v>
      </c>
      <c r="O2" s="5" t="s">
        <v>55</v>
      </c>
      <c r="P2" s="5" t="s">
        <v>60</v>
      </c>
      <c r="Q2" s="5" t="s">
        <v>65</v>
      </c>
      <c r="R2" s="5" t="s">
        <v>70</v>
      </c>
      <c r="S2" s="5" t="s">
        <v>75</v>
      </c>
      <c r="T2" s="5" t="s">
        <v>80</v>
      </c>
      <c r="U2" s="5" t="s">
        <v>85</v>
      </c>
      <c r="V2" s="5" t="s">
        <v>90</v>
      </c>
      <c r="W2" s="5" t="s">
        <v>95</v>
      </c>
      <c r="X2" s="5" t="s">
        <v>100</v>
      </c>
      <c r="Y2" s="5" t="s">
        <v>105</v>
      </c>
    </row>
    <row r="3" spans="1:25" ht="50.1" customHeight="1">
      <c r="A3" s="37"/>
      <c r="B3" s="37"/>
      <c r="C3" s="37"/>
      <c r="D3" s="37"/>
      <c r="E3" s="5" t="s">
        <v>6</v>
      </c>
      <c r="F3" s="5" t="s">
        <v>11</v>
      </c>
      <c r="G3" s="5" t="s">
        <v>16</v>
      </c>
      <c r="H3" s="5" t="s">
        <v>21</v>
      </c>
      <c r="I3" s="5" t="s">
        <v>26</v>
      </c>
      <c r="J3" s="5" t="s">
        <v>31</v>
      </c>
      <c r="K3" s="5" t="s">
        <v>36</v>
      </c>
      <c r="L3" s="5" t="s">
        <v>41</v>
      </c>
      <c r="M3" s="5" t="s">
        <v>46</v>
      </c>
      <c r="N3" s="5" t="s">
        <v>51</v>
      </c>
      <c r="O3" s="5" t="s">
        <v>56</v>
      </c>
      <c r="P3" s="5" t="s">
        <v>61</v>
      </c>
      <c r="Q3" s="5" t="s">
        <v>66</v>
      </c>
      <c r="R3" s="5" t="s">
        <v>71</v>
      </c>
      <c r="S3" s="5" t="s">
        <v>76</v>
      </c>
      <c r="T3" s="5" t="s">
        <v>81</v>
      </c>
      <c r="U3" s="5" t="s">
        <v>86</v>
      </c>
      <c r="V3" s="5" t="s">
        <v>91</v>
      </c>
      <c r="W3" s="5" t="s">
        <v>96</v>
      </c>
      <c r="X3" s="5" t="s">
        <v>101</v>
      </c>
      <c r="Y3" s="5" t="s">
        <v>106</v>
      </c>
    </row>
    <row r="4" spans="1:25" ht="15">
      <c r="A4" s="6" t="s">
        <v>115</v>
      </c>
      <c r="B4" s="6">
        <v>1</v>
      </c>
      <c r="C4" s="7" t="s">
        <v>116</v>
      </c>
      <c r="D4" s="7" t="s">
        <v>117</v>
      </c>
      <c r="E4" s="10" t="s">
        <v>118</v>
      </c>
      <c r="F4" s="11" t="s">
        <v>119</v>
      </c>
      <c r="G4" s="10" t="s">
        <v>118</v>
      </c>
      <c r="H4" s="11" t="s">
        <v>119</v>
      </c>
      <c r="I4" s="11" t="s">
        <v>119</v>
      </c>
      <c r="J4" s="10" t="s">
        <v>118</v>
      </c>
      <c r="K4" s="10" t="s">
        <v>118</v>
      </c>
      <c r="L4" s="9" t="s">
        <v>120</v>
      </c>
      <c r="M4" s="10" t="s">
        <v>118</v>
      </c>
      <c r="N4" s="11" t="s">
        <v>119</v>
      </c>
      <c r="O4" s="11" t="s">
        <v>119</v>
      </c>
      <c r="P4" s="9" t="s">
        <v>120</v>
      </c>
      <c r="Q4" s="11" t="s">
        <v>119</v>
      </c>
      <c r="R4" s="11" t="s">
        <v>119</v>
      </c>
      <c r="S4" s="11" t="s">
        <v>119</v>
      </c>
      <c r="T4" s="9" t="s">
        <v>120</v>
      </c>
      <c r="U4" s="11" t="s">
        <v>119</v>
      </c>
      <c r="V4" s="10" t="s">
        <v>118</v>
      </c>
      <c r="W4" s="11" t="s">
        <v>119</v>
      </c>
      <c r="X4" s="9" t="s">
        <v>120</v>
      </c>
      <c r="Y4" s="31" t="s">
        <v>121</v>
      </c>
    </row>
    <row r="5" spans="1:25" ht="15">
      <c r="A5" s="6" t="s">
        <v>115</v>
      </c>
      <c r="B5" s="6">
        <v>2</v>
      </c>
      <c r="C5" s="7" t="s">
        <v>122</v>
      </c>
      <c r="D5" s="7" t="s">
        <v>123</v>
      </c>
      <c r="E5" s="10" t="s">
        <v>118</v>
      </c>
      <c r="F5" s="11" t="s">
        <v>119</v>
      </c>
      <c r="G5" s="10" t="s">
        <v>118</v>
      </c>
      <c r="H5" s="9" t="s">
        <v>120</v>
      </c>
      <c r="I5" s="11" t="s">
        <v>119</v>
      </c>
      <c r="J5" s="10" t="s">
        <v>118</v>
      </c>
      <c r="K5" s="9" t="s">
        <v>120</v>
      </c>
      <c r="L5" s="9" t="s">
        <v>120</v>
      </c>
      <c r="M5" s="10" t="s">
        <v>118</v>
      </c>
      <c r="N5" s="11" t="s">
        <v>119</v>
      </c>
      <c r="O5" s="11" t="s">
        <v>119</v>
      </c>
      <c r="P5" s="9" t="s">
        <v>120</v>
      </c>
      <c r="Q5" s="11" t="s">
        <v>119</v>
      </c>
      <c r="R5" s="11" t="s">
        <v>119</v>
      </c>
      <c r="S5" s="11" t="s">
        <v>119</v>
      </c>
      <c r="T5" s="10" t="s">
        <v>118</v>
      </c>
      <c r="U5" s="11" t="s">
        <v>119</v>
      </c>
      <c r="V5" s="10" t="s">
        <v>118</v>
      </c>
      <c r="W5" s="11" t="s">
        <v>119</v>
      </c>
      <c r="X5" s="11" t="s">
        <v>119</v>
      </c>
      <c r="Y5" s="31" t="s">
        <v>121</v>
      </c>
    </row>
    <row r="6" spans="1:25" ht="15">
      <c r="A6" s="6" t="s">
        <v>115</v>
      </c>
      <c r="B6" s="6">
        <v>3</v>
      </c>
      <c r="C6" s="7" t="s">
        <v>122</v>
      </c>
      <c r="D6" s="7" t="s">
        <v>124</v>
      </c>
      <c r="E6" s="10" t="s">
        <v>118</v>
      </c>
      <c r="F6" s="11" t="s">
        <v>119</v>
      </c>
      <c r="G6" s="10" t="s">
        <v>118</v>
      </c>
      <c r="H6" s="9" t="s">
        <v>120</v>
      </c>
      <c r="I6" s="11" t="s">
        <v>119</v>
      </c>
      <c r="J6" s="10" t="s">
        <v>118</v>
      </c>
      <c r="K6" s="9" t="s">
        <v>120</v>
      </c>
      <c r="L6" s="9" t="s">
        <v>120</v>
      </c>
      <c r="M6" s="10" t="s">
        <v>118</v>
      </c>
      <c r="N6" s="11" t="s">
        <v>119</v>
      </c>
      <c r="O6" s="11" t="s">
        <v>119</v>
      </c>
      <c r="P6" s="9" t="s">
        <v>120</v>
      </c>
      <c r="Q6" s="11" t="s">
        <v>119</v>
      </c>
      <c r="R6" s="11" t="s">
        <v>119</v>
      </c>
      <c r="S6" s="11" t="s">
        <v>119</v>
      </c>
      <c r="T6" s="10" t="s">
        <v>118</v>
      </c>
      <c r="U6" s="11" t="s">
        <v>119</v>
      </c>
      <c r="V6" s="10" t="s">
        <v>118</v>
      </c>
      <c r="W6" s="11" t="s">
        <v>119</v>
      </c>
      <c r="X6" s="11" t="s">
        <v>119</v>
      </c>
      <c r="Y6" s="31" t="s">
        <v>121</v>
      </c>
    </row>
    <row r="7" spans="1:25" ht="15">
      <c r="A7" s="6" t="s">
        <v>115</v>
      </c>
      <c r="B7" s="6">
        <v>4</v>
      </c>
      <c r="C7" s="7" t="s">
        <v>125</v>
      </c>
      <c r="D7" s="7" t="s">
        <v>126</v>
      </c>
      <c r="E7" s="10" t="s">
        <v>118</v>
      </c>
      <c r="F7" s="11" t="s">
        <v>119</v>
      </c>
      <c r="G7" s="10" t="s">
        <v>118</v>
      </c>
      <c r="H7" s="11" t="s">
        <v>119</v>
      </c>
      <c r="I7" s="11" t="s">
        <v>119</v>
      </c>
      <c r="J7" s="10" t="s">
        <v>118</v>
      </c>
      <c r="K7" s="10" t="s">
        <v>118</v>
      </c>
      <c r="L7" s="9" t="s">
        <v>120</v>
      </c>
      <c r="M7" s="10" t="s">
        <v>118</v>
      </c>
      <c r="N7" s="11" t="s">
        <v>119</v>
      </c>
      <c r="O7" s="11" t="s">
        <v>119</v>
      </c>
      <c r="P7" s="11" t="s">
        <v>119</v>
      </c>
      <c r="Q7" s="11" t="s">
        <v>119</v>
      </c>
      <c r="R7" s="11" t="s">
        <v>119</v>
      </c>
      <c r="S7" s="11" t="s">
        <v>119</v>
      </c>
      <c r="T7" s="9" t="s">
        <v>120</v>
      </c>
      <c r="U7" s="11" t="s">
        <v>119</v>
      </c>
      <c r="V7" s="10" t="s">
        <v>118</v>
      </c>
      <c r="W7" s="11" t="s">
        <v>119</v>
      </c>
      <c r="X7" s="11" t="s">
        <v>119</v>
      </c>
      <c r="Y7" s="31" t="s">
        <v>121</v>
      </c>
    </row>
    <row r="8" spans="1:25" ht="15">
      <c r="A8" s="6" t="s">
        <v>115</v>
      </c>
      <c r="B8" s="6">
        <v>5</v>
      </c>
      <c r="C8" s="7" t="s">
        <v>127</v>
      </c>
      <c r="D8" s="7" t="s">
        <v>128</v>
      </c>
      <c r="E8" s="10" t="s">
        <v>118</v>
      </c>
      <c r="F8" s="11" t="s">
        <v>119</v>
      </c>
      <c r="G8" s="10" t="s">
        <v>118</v>
      </c>
      <c r="H8" s="11" t="s">
        <v>119</v>
      </c>
      <c r="I8" s="11" t="s">
        <v>119</v>
      </c>
      <c r="J8" s="10" t="s">
        <v>118</v>
      </c>
      <c r="K8" s="10" t="s">
        <v>118</v>
      </c>
      <c r="L8" s="9" t="s">
        <v>120</v>
      </c>
      <c r="M8" s="10" t="s">
        <v>118</v>
      </c>
      <c r="N8" s="11" t="s">
        <v>119</v>
      </c>
      <c r="O8" s="11" t="s">
        <v>119</v>
      </c>
      <c r="P8" s="9" t="s">
        <v>120</v>
      </c>
      <c r="Q8" s="11" t="s">
        <v>119</v>
      </c>
      <c r="R8" s="11" t="s">
        <v>119</v>
      </c>
      <c r="S8" s="11" t="s">
        <v>119</v>
      </c>
      <c r="T8" s="10" t="s">
        <v>118</v>
      </c>
      <c r="U8" s="11" t="s">
        <v>119</v>
      </c>
      <c r="V8" s="10" t="s">
        <v>118</v>
      </c>
      <c r="W8" s="11" t="s">
        <v>119</v>
      </c>
      <c r="X8" s="11" t="s">
        <v>119</v>
      </c>
      <c r="Y8" s="31" t="s">
        <v>121</v>
      </c>
    </row>
    <row r="9" spans="1:25" ht="15">
      <c r="A9" s="6" t="s">
        <v>115</v>
      </c>
      <c r="B9" s="6">
        <v>6</v>
      </c>
      <c r="C9" s="7" t="s">
        <v>129</v>
      </c>
      <c r="D9" s="7" t="s">
        <v>130</v>
      </c>
      <c r="E9" s="10" t="s">
        <v>118</v>
      </c>
      <c r="F9" s="11" t="s">
        <v>119</v>
      </c>
      <c r="G9" s="10" t="s">
        <v>118</v>
      </c>
      <c r="H9" s="11" t="s">
        <v>119</v>
      </c>
      <c r="I9" s="11" t="s">
        <v>119</v>
      </c>
      <c r="J9" s="10" t="s">
        <v>118</v>
      </c>
      <c r="K9" s="10" t="s">
        <v>118</v>
      </c>
      <c r="L9" s="9" t="s">
        <v>120</v>
      </c>
      <c r="M9" s="10" t="s">
        <v>118</v>
      </c>
      <c r="N9" s="11" t="s">
        <v>119</v>
      </c>
      <c r="O9" s="11" t="s">
        <v>119</v>
      </c>
      <c r="P9" s="11" t="s">
        <v>119</v>
      </c>
      <c r="Q9" s="11" t="s">
        <v>119</v>
      </c>
      <c r="R9" s="11" t="s">
        <v>119</v>
      </c>
      <c r="S9" s="11" t="s">
        <v>119</v>
      </c>
      <c r="T9" s="10" t="s">
        <v>118</v>
      </c>
      <c r="U9" s="11" t="s">
        <v>119</v>
      </c>
      <c r="V9" s="10" t="s">
        <v>118</v>
      </c>
      <c r="W9" s="11" t="s">
        <v>119</v>
      </c>
      <c r="X9" s="11" t="s">
        <v>119</v>
      </c>
      <c r="Y9" s="10" t="s">
        <v>118</v>
      </c>
    </row>
    <row r="10" spans="1:25" ht="15">
      <c r="A10" s="6" t="s">
        <v>115</v>
      </c>
      <c r="B10" s="6">
        <v>7</v>
      </c>
      <c r="C10" s="7" t="s">
        <v>131</v>
      </c>
      <c r="D10" s="7" t="s">
        <v>132</v>
      </c>
      <c r="E10" s="11" t="s">
        <v>119</v>
      </c>
      <c r="F10" s="11" t="s">
        <v>119</v>
      </c>
      <c r="G10" s="11" t="s">
        <v>119</v>
      </c>
      <c r="H10" s="9" t="s">
        <v>120</v>
      </c>
      <c r="I10" s="11" t="s">
        <v>119</v>
      </c>
      <c r="J10" s="10" t="s">
        <v>118</v>
      </c>
      <c r="K10" s="10" t="s">
        <v>118</v>
      </c>
      <c r="L10" s="9" t="s">
        <v>120</v>
      </c>
      <c r="M10" s="10" t="s">
        <v>118</v>
      </c>
      <c r="N10" s="11" t="s">
        <v>119</v>
      </c>
      <c r="O10" s="11" t="s">
        <v>119</v>
      </c>
      <c r="P10" s="9" t="s">
        <v>120</v>
      </c>
      <c r="Q10" s="9" t="s">
        <v>120</v>
      </c>
      <c r="R10" s="11" t="s">
        <v>119</v>
      </c>
      <c r="S10" s="11" t="s">
        <v>119</v>
      </c>
      <c r="T10" s="10" t="s">
        <v>118</v>
      </c>
      <c r="U10" s="11" t="s">
        <v>119</v>
      </c>
      <c r="V10" s="9" t="s">
        <v>120</v>
      </c>
      <c r="W10" s="11" t="s">
        <v>119</v>
      </c>
      <c r="X10" s="11" t="s">
        <v>119</v>
      </c>
      <c r="Y10" s="31" t="s">
        <v>121</v>
      </c>
    </row>
    <row r="11" spans="1:25" ht="15">
      <c r="A11" s="6" t="s">
        <v>115</v>
      </c>
      <c r="B11" s="6">
        <v>8</v>
      </c>
      <c r="C11" s="7" t="s">
        <v>131</v>
      </c>
      <c r="D11" s="7" t="s">
        <v>133</v>
      </c>
      <c r="E11" s="11" t="s">
        <v>119</v>
      </c>
      <c r="F11" s="11" t="s">
        <v>119</v>
      </c>
      <c r="G11" s="11" t="s">
        <v>119</v>
      </c>
      <c r="H11" s="11" t="s">
        <v>119</v>
      </c>
      <c r="I11" s="11" t="s">
        <v>119</v>
      </c>
      <c r="J11" s="10" t="s">
        <v>118</v>
      </c>
      <c r="K11" s="10" t="s">
        <v>118</v>
      </c>
      <c r="L11" s="9" t="s">
        <v>120</v>
      </c>
      <c r="M11" s="9" t="s">
        <v>120</v>
      </c>
      <c r="N11" s="11" t="s">
        <v>119</v>
      </c>
      <c r="O11" s="11" t="s">
        <v>119</v>
      </c>
      <c r="P11" s="9" t="s">
        <v>120</v>
      </c>
      <c r="Q11" s="9" t="s">
        <v>120</v>
      </c>
      <c r="R11" s="11" t="s">
        <v>119</v>
      </c>
      <c r="S11" s="11" t="s">
        <v>119</v>
      </c>
      <c r="T11" s="10" t="s">
        <v>118</v>
      </c>
      <c r="U11" s="11" t="s">
        <v>119</v>
      </c>
      <c r="V11" s="11" t="s">
        <v>119</v>
      </c>
      <c r="W11" s="11" t="s">
        <v>119</v>
      </c>
      <c r="X11" s="11" t="s">
        <v>119</v>
      </c>
      <c r="Y11" s="31" t="s">
        <v>121</v>
      </c>
    </row>
    <row r="12" spans="1:25" ht="15">
      <c r="A12" s="6" t="s">
        <v>115</v>
      </c>
      <c r="B12" s="6">
        <v>9</v>
      </c>
      <c r="C12" s="7" t="s">
        <v>131</v>
      </c>
      <c r="D12" s="7" t="s">
        <v>134</v>
      </c>
      <c r="E12" s="11" t="s">
        <v>119</v>
      </c>
      <c r="F12" s="11" t="s">
        <v>119</v>
      </c>
      <c r="G12" s="11" t="s">
        <v>119</v>
      </c>
      <c r="H12" s="11" t="s">
        <v>119</v>
      </c>
      <c r="I12" s="11" t="s">
        <v>119</v>
      </c>
      <c r="J12" s="10" t="s">
        <v>118</v>
      </c>
      <c r="K12" s="10" t="s">
        <v>118</v>
      </c>
      <c r="L12" s="9" t="s">
        <v>120</v>
      </c>
      <c r="M12" s="9" t="s">
        <v>120</v>
      </c>
      <c r="N12" s="11" t="s">
        <v>119</v>
      </c>
      <c r="O12" s="11" t="s">
        <v>119</v>
      </c>
      <c r="P12" s="9" t="s">
        <v>120</v>
      </c>
      <c r="Q12" s="9" t="s">
        <v>120</v>
      </c>
      <c r="R12" s="11" t="s">
        <v>119</v>
      </c>
      <c r="S12" s="11" t="s">
        <v>119</v>
      </c>
      <c r="T12" s="10" t="s">
        <v>118</v>
      </c>
      <c r="U12" s="11" t="s">
        <v>119</v>
      </c>
      <c r="V12" s="11" t="s">
        <v>119</v>
      </c>
      <c r="W12" s="11" t="s">
        <v>119</v>
      </c>
      <c r="X12" s="11" t="s">
        <v>119</v>
      </c>
      <c r="Y12" s="31" t="s">
        <v>121</v>
      </c>
    </row>
    <row r="13" spans="1:25" ht="15">
      <c r="A13" s="6" t="s">
        <v>115</v>
      </c>
      <c r="B13" s="6">
        <v>10</v>
      </c>
      <c r="C13" s="7" t="s">
        <v>131</v>
      </c>
      <c r="D13" s="7" t="s">
        <v>135</v>
      </c>
      <c r="E13" s="11" t="s">
        <v>119</v>
      </c>
      <c r="F13" s="11" t="s">
        <v>119</v>
      </c>
      <c r="G13" s="11" t="s">
        <v>119</v>
      </c>
      <c r="H13" s="11" t="s">
        <v>119</v>
      </c>
      <c r="I13" s="11" t="s">
        <v>119</v>
      </c>
      <c r="J13" s="10" t="s">
        <v>118</v>
      </c>
      <c r="K13" s="10" t="s">
        <v>118</v>
      </c>
      <c r="L13" s="9" t="s">
        <v>120</v>
      </c>
      <c r="M13" s="9" t="s">
        <v>120</v>
      </c>
      <c r="N13" s="11" t="s">
        <v>119</v>
      </c>
      <c r="O13" s="11" t="s">
        <v>119</v>
      </c>
      <c r="P13" s="9" t="s">
        <v>120</v>
      </c>
      <c r="Q13" s="11" t="s">
        <v>119</v>
      </c>
      <c r="R13" s="11" t="s">
        <v>119</v>
      </c>
      <c r="S13" s="11" t="s">
        <v>119</v>
      </c>
      <c r="T13" s="10" t="s">
        <v>118</v>
      </c>
      <c r="U13" s="11" t="s">
        <v>119</v>
      </c>
      <c r="V13" s="11" t="s">
        <v>119</v>
      </c>
      <c r="W13" s="11" t="s">
        <v>119</v>
      </c>
      <c r="X13" s="11" t="s">
        <v>119</v>
      </c>
      <c r="Y13" s="31" t="s">
        <v>121</v>
      </c>
    </row>
    <row r="14" spans="1:25" ht="15">
      <c r="A14" s="6" t="s">
        <v>115</v>
      </c>
      <c r="B14" s="6">
        <v>11</v>
      </c>
      <c r="C14" s="7" t="s">
        <v>131</v>
      </c>
      <c r="D14" s="7" t="s">
        <v>136</v>
      </c>
      <c r="E14" s="10" t="s">
        <v>118</v>
      </c>
      <c r="F14" s="11" t="s">
        <v>119</v>
      </c>
      <c r="G14" s="11" t="s">
        <v>119</v>
      </c>
      <c r="H14" s="11" t="s">
        <v>119</v>
      </c>
      <c r="I14" s="11" t="s">
        <v>119</v>
      </c>
      <c r="J14" s="10" t="s">
        <v>118</v>
      </c>
      <c r="K14" s="10" t="s">
        <v>118</v>
      </c>
      <c r="L14" s="9" t="s">
        <v>120</v>
      </c>
      <c r="M14" s="10" t="s">
        <v>118</v>
      </c>
      <c r="N14" s="11" t="s">
        <v>119</v>
      </c>
      <c r="O14" s="11" t="s">
        <v>119</v>
      </c>
      <c r="P14" s="9" t="s">
        <v>120</v>
      </c>
      <c r="Q14" s="9" t="s">
        <v>120</v>
      </c>
      <c r="R14" s="11" t="s">
        <v>119</v>
      </c>
      <c r="S14" s="11" t="s">
        <v>119</v>
      </c>
      <c r="T14" s="10" t="s">
        <v>118</v>
      </c>
      <c r="U14" s="11" t="s">
        <v>119</v>
      </c>
      <c r="V14" s="9" t="s">
        <v>120</v>
      </c>
      <c r="W14" s="11" t="s">
        <v>119</v>
      </c>
      <c r="X14" s="11" t="s">
        <v>119</v>
      </c>
      <c r="Y14" s="31" t="s">
        <v>121</v>
      </c>
    </row>
    <row r="15" spans="1:25" ht="15">
      <c r="A15" s="6" t="s">
        <v>115</v>
      </c>
      <c r="B15" s="6">
        <v>12</v>
      </c>
      <c r="C15" s="7" t="s">
        <v>131</v>
      </c>
      <c r="D15" s="7" t="s">
        <v>137</v>
      </c>
      <c r="E15" s="10" t="s">
        <v>118</v>
      </c>
      <c r="F15" s="11" t="s">
        <v>119</v>
      </c>
      <c r="G15" s="11" t="s">
        <v>119</v>
      </c>
      <c r="H15" s="11" t="s">
        <v>119</v>
      </c>
      <c r="I15" s="11" t="s">
        <v>119</v>
      </c>
      <c r="J15" s="10" t="s">
        <v>118</v>
      </c>
      <c r="K15" s="10" t="s">
        <v>118</v>
      </c>
      <c r="L15" s="9" t="s">
        <v>120</v>
      </c>
      <c r="M15" s="9" t="s">
        <v>120</v>
      </c>
      <c r="N15" s="11" t="s">
        <v>119</v>
      </c>
      <c r="O15" s="11" t="s">
        <v>119</v>
      </c>
      <c r="P15" s="9" t="s">
        <v>120</v>
      </c>
      <c r="Q15" s="9" t="s">
        <v>120</v>
      </c>
      <c r="R15" s="11" t="s">
        <v>119</v>
      </c>
      <c r="S15" s="11" t="s">
        <v>119</v>
      </c>
      <c r="T15" s="10" t="s">
        <v>118</v>
      </c>
      <c r="U15" s="11" t="s">
        <v>119</v>
      </c>
      <c r="V15" s="11" t="s">
        <v>119</v>
      </c>
      <c r="W15" s="11" t="s">
        <v>119</v>
      </c>
      <c r="X15" s="11" t="s">
        <v>119</v>
      </c>
      <c r="Y15" s="31" t="s">
        <v>121</v>
      </c>
    </row>
    <row r="16" spans="1:25" ht="15">
      <c r="A16" s="6" t="s">
        <v>115</v>
      </c>
      <c r="B16" s="6">
        <v>13</v>
      </c>
      <c r="C16" s="7" t="s">
        <v>131</v>
      </c>
      <c r="D16" s="7" t="s">
        <v>138</v>
      </c>
      <c r="E16" s="11" t="s">
        <v>119</v>
      </c>
      <c r="F16" s="11" t="s">
        <v>119</v>
      </c>
      <c r="G16" s="11" t="s">
        <v>119</v>
      </c>
      <c r="H16" s="11" t="s">
        <v>119</v>
      </c>
      <c r="I16" s="11" t="s">
        <v>119</v>
      </c>
      <c r="J16" s="10" t="s">
        <v>118</v>
      </c>
      <c r="K16" s="10" t="s">
        <v>118</v>
      </c>
      <c r="L16" s="9" t="s">
        <v>120</v>
      </c>
      <c r="M16" s="9" t="s">
        <v>120</v>
      </c>
      <c r="N16" s="11" t="s">
        <v>119</v>
      </c>
      <c r="O16" s="11" t="s">
        <v>119</v>
      </c>
      <c r="P16" s="9" t="s">
        <v>120</v>
      </c>
      <c r="Q16" s="9" t="s">
        <v>120</v>
      </c>
      <c r="R16" s="11" t="s">
        <v>119</v>
      </c>
      <c r="S16" s="11" t="s">
        <v>119</v>
      </c>
      <c r="T16" s="10" t="s">
        <v>118</v>
      </c>
      <c r="U16" s="11" t="s">
        <v>119</v>
      </c>
      <c r="V16" s="11" t="s">
        <v>119</v>
      </c>
      <c r="W16" s="11" t="s">
        <v>119</v>
      </c>
      <c r="X16" s="11" t="s">
        <v>119</v>
      </c>
      <c r="Y16" s="31" t="s">
        <v>121</v>
      </c>
    </row>
    <row r="17" spans="1:25" ht="15">
      <c r="A17" s="6" t="s">
        <v>115</v>
      </c>
      <c r="B17" s="6">
        <v>14</v>
      </c>
      <c r="C17" s="7" t="s">
        <v>131</v>
      </c>
      <c r="D17" s="7" t="s">
        <v>139</v>
      </c>
      <c r="E17" s="11" t="s">
        <v>119</v>
      </c>
      <c r="F17" s="11" t="s">
        <v>119</v>
      </c>
      <c r="G17" s="11" t="s">
        <v>119</v>
      </c>
      <c r="H17" s="11" t="s">
        <v>119</v>
      </c>
      <c r="I17" s="11" t="s">
        <v>119</v>
      </c>
      <c r="J17" s="10" t="s">
        <v>118</v>
      </c>
      <c r="K17" s="10" t="s">
        <v>118</v>
      </c>
      <c r="L17" s="9" t="s">
        <v>120</v>
      </c>
      <c r="M17" s="9" t="s">
        <v>120</v>
      </c>
      <c r="N17" s="11" t="s">
        <v>119</v>
      </c>
      <c r="O17" s="11" t="s">
        <v>119</v>
      </c>
      <c r="P17" s="9" t="s">
        <v>120</v>
      </c>
      <c r="Q17" s="9" t="s">
        <v>120</v>
      </c>
      <c r="R17" s="11" t="s">
        <v>119</v>
      </c>
      <c r="S17" s="11" t="s">
        <v>119</v>
      </c>
      <c r="T17" s="10" t="s">
        <v>118</v>
      </c>
      <c r="U17" s="11" t="s">
        <v>119</v>
      </c>
      <c r="V17" s="11" t="s">
        <v>119</v>
      </c>
      <c r="W17" s="11" t="s">
        <v>119</v>
      </c>
      <c r="X17" s="11" t="s">
        <v>119</v>
      </c>
      <c r="Y17" s="31" t="s">
        <v>121</v>
      </c>
    </row>
    <row r="18" spans="1:25" ht="15">
      <c r="A18" s="6" t="s">
        <v>115</v>
      </c>
      <c r="B18" s="6">
        <v>15</v>
      </c>
      <c r="C18" s="7" t="s">
        <v>131</v>
      </c>
      <c r="D18" s="7" t="s">
        <v>140</v>
      </c>
      <c r="E18" s="11" t="s">
        <v>119</v>
      </c>
      <c r="F18" s="11" t="s">
        <v>119</v>
      </c>
      <c r="G18" s="11" t="s">
        <v>119</v>
      </c>
      <c r="H18" s="11" t="s">
        <v>119</v>
      </c>
      <c r="I18" s="11" t="s">
        <v>119</v>
      </c>
      <c r="J18" s="10" t="s">
        <v>118</v>
      </c>
      <c r="K18" s="10" t="s">
        <v>118</v>
      </c>
      <c r="L18" s="9" t="s">
        <v>120</v>
      </c>
      <c r="M18" s="9" t="s">
        <v>120</v>
      </c>
      <c r="N18" s="11" t="s">
        <v>119</v>
      </c>
      <c r="O18" s="11" t="s">
        <v>119</v>
      </c>
      <c r="P18" s="9" t="s">
        <v>120</v>
      </c>
      <c r="Q18" s="9" t="s">
        <v>120</v>
      </c>
      <c r="R18" s="11" t="s">
        <v>119</v>
      </c>
      <c r="S18" s="11" t="s">
        <v>119</v>
      </c>
      <c r="T18" s="10" t="s">
        <v>118</v>
      </c>
      <c r="U18" s="11" t="s">
        <v>119</v>
      </c>
      <c r="V18" s="11" t="s">
        <v>119</v>
      </c>
      <c r="W18" s="11" t="s">
        <v>119</v>
      </c>
      <c r="X18" s="11" t="s">
        <v>119</v>
      </c>
      <c r="Y18" s="31" t="s">
        <v>121</v>
      </c>
    </row>
    <row r="19" spans="1:25" ht="15">
      <c r="A19" s="6" t="s">
        <v>115</v>
      </c>
      <c r="B19" s="6">
        <v>16</v>
      </c>
      <c r="C19" s="7" t="s">
        <v>131</v>
      </c>
      <c r="D19" s="7" t="s">
        <v>141</v>
      </c>
      <c r="E19" s="11" t="s">
        <v>119</v>
      </c>
      <c r="F19" s="11" t="s">
        <v>119</v>
      </c>
      <c r="G19" s="11" t="s">
        <v>119</v>
      </c>
      <c r="H19" s="11" t="s">
        <v>119</v>
      </c>
      <c r="I19" s="11" t="s">
        <v>119</v>
      </c>
      <c r="J19" s="10" t="s">
        <v>118</v>
      </c>
      <c r="K19" s="9" t="s">
        <v>120</v>
      </c>
      <c r="L19" s="9" t="s">
        <v>120</v>
      </c>
      <c r="M19" s="9" t="s">
        <v>120</v>
      </c>
      <c r="N19" s="11" t="s">
        <v>119</v>
      </c>
      <c r="O19" s="11" t="s">
        <v>119</v>
      </c>
      <c r="P19" s="9" t="s">
        <v>120</v>
      </c>
      <c r="Q19" s="9" t="s">
        <v>120</v>
      </c>
      <c r="R19" s="11" t="s">
        <v>119</v>
      </c>
      <c r="S19" s="11" t="s">
        <v>119</v>
      </c>
      <c r="T19" s="10" t="s">
        <v>118</v>
      </c>
      <c r="U19" s="11" t="s">
        <v>119</v>
      </c>
      <c r="V19" s="11" t="s">
        <v>119</v>
      </c>
      <c r="W19" s="11" t="s">
        <v>119</v>
      </c>
      <c r="X19" s="11" t="s">
        <v>119</v>
      </c>
      <c r="Y19" s="31" t="s">
        <v>121</v>
      </c>
    </row>
    <row r="20" spans="1:25" ht="15">
      <c r="A20" s="6" t="s">
        <v>115</v>
      </c>
      <c r="B20" s="6">
        <v>17</v>
      </c>
      <c r="C20" s="7" t="s">
        <v>131</v>
      </c>
      <c r="D20" s="7" t="s">
        <v>142</v>
      </c>
      <c r="E20" s="11" t="s">
        <v>119</v>
      </c>
      <c r="F20" s="11" t="s">
        <v>119</v>
      </c>
      <c r="G20" s="11" t="s">
        <v>119</v>
      </c>
      <c r="H20" s="11" t="s">
        <v>119</v>
      </c>
      <c r="I20" s="11" t="s">
        <v>119</v>
      </c>
      <c r="J20" s="10" t="s">
        <v>118</v>
      </c>
      <c r="K20" s="10" t="s">
        <v>118</v>
      </c>
      <c r="L20" s="9" t="s">
        <v>120</v>
      </c>
      <c r="M20" s="10" t="s">
        <v>118</v>
      </c>
      <c r="N20" s="11" t="s">
        <v>119</v>
      </c>
      <c r="O20" s="11" t="s">
        <v>119</v>
      </c>
      <c r="P20" s="9" t="s">
        <v>120</v>
      </c>
      <c r="Q20" s="9" t="s">
        <v>120</v>
      </c>
      <c r="R20" s="11" t="s">
        <v>119</v>
      </c>
      <c r="S20" s="11" t="s">
        <v>119</v>
      </c>
      <c r="T20" s="10" t="s">
        <v>118</v>
      </c>
      <c r="U20" s="11" t="s">
        <v>119</v>
      </c>
      <c r="V20" s="9" t="s">
        <v>120</v>
      </c>
      <c r="W20" s="11" t="s">
        <v>119</v>
      </c>
      <c r="X20" s="11" t="s">
        <v>119</v>
      </c>
      <c r="Y20" s="31" t="s">
        <v>121</v>
      </c>
    </row>
    <row r="21" spans="1:25" ht="15">
      <c r="A21" s="6" t="s">
        <v>115</v>
      </c>
      <c r="B21" s="6">
        <v>18</v>
      </c>
      <c r="C21" s="7" t="s">
        <v>131</v>
      </c>
      <c r="D21" s="7" t="s">
        <v>143</v>
      </c>
      <c r="E21" s="11" t="s">
        <v>119</v>
      </c>
      <c r="F21" s="11" t="s">
        <v>119</v>
      </c>
      <c r="G21" s="11" t="s">
        <v>119</v>
      </c>
      <c r="H21" s="11" t="s">
        <v>119</v>
      </c>
      <c r="I21" s="11" t="s">
        <v>119</v>
      </c>
      <c r="J21" s="10" t="s">
        <v>118</v>
      </c>
      <c r="K21" s="10" t="s">
        <v>118</v>
      </c>
      <c r="L21" s="9" t="s">
        <v>120</v>
      </c>
      <c r="M21" s="9" t="s">
        <v>120</v>
      </c>
      <c r="N21" s="11" t="s">
        <v>119</v>
      </c>
      <c r="O21" s="11" t="s">
        <v>119</v>
      </c>
      <c r="P21" s="9" t="s">
        <v>120</v>
      </c>
      <c r="Q21" s="9" t="s">
        <v>120</v>
      </c>
      <c r="R21" s="11" t="s">
        <v>119</v>
      </c>
      <c r="S21" s="11" t="s">
        <v>119</v>
      </c>
      <c r="T21" s="10" t="s">
        <v>118</v>
      </c>
      <c r="U21" s="11" t="s">
        <v>119</v>
      </c>
      <c r="V21" s="11" t="s">
        <v>119</v>
      </c>
      <c r="W21" s="11" t="s">
        <v>119</v>
      </c>
      <c r="X21" s="11" t="s">
        <v>119</v>
      </c>
      <c r="Y21" s="31" t="s">
        <v>121</v>
      </c>
    </row>
    <row r="22" spans="1:25" ht="15">
      <c r="A22" s="6" t="s">
        <v>115</v>
      </c>
      <c r="B22" s="6">
        <v>19</v>
      </c>
      <c r="C22" s="7" t="s">
        <v>131</v>
      </c>
      <c r="D22" s="7" t="s">
        <v>144</v>
      </c>
      <c r="E22" s="11" t="s">
        <v>119</v>
      </c>
      <c r="F22" s="11" t="s">
        <v>119</v>
      </c>
      <c r="G22" s="11" t="s">
        <v>119</v>
      </c>
      <c r="H22" s="11" t="s">
        <v>119</v>
      </c>
      <c r="I22" s="11" t="s">
        <v>119</v>
      </c>
      <c r="J22" s="10" t="s">
        <v>118</v>
      </c>
      <c r="K22" s="10" t="s">
        <v>118</v>
      </c>
      <c r="L22" s="9" t="s">
        <v>120</v>
      </c>
      <c r="M22" s="9" t="s">
        <v>120</v>
      </c>
      <c r="N22" s="11" t="s">
        <v>119</v>
      </c>
      <c r="O22" s="11" t="s">
        <v>119</v>
      </c>
      <c r="P22" s="9" t="s">
        <v>120</v>
      </c>
      <c r="Q22" s="9" t="s">
        <v>120</v>
      </c>
      <c r="R22" s="11" t="s">
        <v>119</v>
      </c>
      <c r="S22" s="11" t="s">
        <v>119</v>
      </c>
      <c r="T22" s="10" t="s">
        <v>118</v>
      </c>
      <c r="U22" s="11" t="s">
        <v>119</v>
      </c>
      <c r="V22" s="11" t="s">
        <v>119</v>
      </c>
      <c r="W22" s="11" t="s">
        <v>119</v>
      </c>
      <c r="X22" s="11" t="s">
        <v>119</v>
      </c>
      <c r="Y22" s="31" t="s">
        <v>121</v>
      </c>
    </row>
    <row r="23" spans="1:25" ht="15">
      <c r="A23" s="6" t="s">
        <v>115</v>
      </c>
      <c r="B23" s="6">
        <v>20</v>
      </c>
      <c r="C23" s="7" t="s">
        <v>131</v>
      </c>
      <c r="D23" s="7" t="s">
        <v>145</v>
      </c>
      <c r="E23" s="11" t="s">
        <v>119</v>
      </c>
      <c r="F23" s="11" t="s">
        <v>119</v>
      </c>
      <c r="G23" s="11" t="s">
        <v>119</v>
      </c>
      <c r="H23" s="11" t="s">
        <v>119</v>
      </c>
      <c r="I23" s="11" t="s">
        <v>119</v>
      </c>
      <c r="J23" s="9" t="s">
        <v>120</v>
      </c>
      <c r="K23" s="10" t="s">
        <v>118</v>
      </c>
      <c r="L23" s="11" t="s">
        <v>119</v>
      </c>
      <c r="M23" s="11" t="s">
        <v>119</v>
      </c>
      <c r="N23" s="11" t="s">
        <v>119</v>
      </c>
      <c r="O23" s="11" t="s">
        <v>119</v>
      </c>
      <c r="P23" s="9" t="s">
        <v>120</v>
      </c>
      <c r="Q23" s="9" t="s">
        <v>120</v>
      </c>
      <c r="R23" s="11" t="s">
        <v>119</v>
      </c>
      <c r="S23" s="11" t="s">
        <v>119</v>
      </c>
      <c r="T23" s="11" t="s">
        <v>119</v>
      </c>
      <c r="U23" s="11" t="s">
        <v>119</v>
      </c>
      <c r="V23" s="11" t="s">
        <v>119</v>
      </c>
      <c r="W23" s="11" t="s">
        <v>119</v>
      </c>
      <c r="X23" s="11" t="s">
        <v>119</v>
      </c>
      <c r="Y23" s="31" t="s">
        <v>121</v>
      </c>
    </row>
    <row r="24" spans="1:25" ht="15">
      <c r="A24" s="6" t="s">
        <v>115</v>
      </c>
      <c r="B24" s="6">
        <v>21</v>
      </c>
      <c r="C24" s="7" t="s">
        <v>131</v>
      </c>
      <c r="D24" s="7" t="s">
        <v>146</v>
      </c>
      <c r="E24" s="11" t="s">
        <v>119</v>
      </c>
      <c r="F24" s="11" t="s">
        <v>119</v>
      </c>
      <c r="G24" s="11" t="s">
        <v>119</v>
      </c>
      <c r="H24" s="11" t="s">
        <v>119</v>
      </c>
      <c r="I24" s="11" t="s">
        <v>119</v>
      </c>
      <c r="J24" s="10" t="s">
        <v>118</v>
      </c>
      <c r="K24" s="10" t="s">
        <v>118</v>
      </c>
      <c r="L24" s="9" t="s">
        <v>120</v>
      </c>
      <c r="M24" s="9" t="s">
        <v>120</v>
      </c>
      <c r="N24" s="11" t="s">
        <v>119</v>
      </c>
      <c r="O24" s="11" t="s">
        <v>119</v>
      </c>
      <c r="P24" s="9" t="s">
        <v>120</v>
      </c>
      <c r="Q24" s="9" t="s">
        <v>120</v>
      </c>
      <c r="R24" s="11" t="s">
        <v>119</v>
      </c>
      <c r="S24" s="11" t="s">
        <v>119</v>
      </c>
      <c r="T24" s="10" t="s">
        <v>118</v>
      </c>
      <c r="U24" s="11" t="s">
        <v>119</v>
      </c>
      <c r="V24" s="11" t="s">
        <v>119</v>
      </c>
      <c r="W24" s="11" t="s">
        <v>119</v>
      </c>
      <c r="X24" s="11" t="s">
        <v>119</v>
      </c>
      <c r="Y24" s="31" t="s">
        <v>121</v>
      </c>
    </row>
    <row r="25" spans="1:25" ht="15">
      <c r="A25" s="6" t="s">
        <v>115</v>
      </c>
      <c r="B25" s="6">
        <v>22</v>
      </c>
      <c r="C25" s="7" t="s">
        <v>131</v>
      </c>
      <c r="D25" s="7" t="s">
        <v>147</v>
      </c>
      <c r="E25" s="11" t="s">
        <v>119</v>
      </c>
      <c r="F25" s="11" t="s">
        <v>119</v>
      </c>
      <c r="G25" s="11" t="s">
        <v>119</v>
      </c>
      <c r="H25" s="11" t="s">
        <v>119</v>
      </c>
      <c r="I25" s="11" t="s">
        <v>119</v>
      </c>
      <c r="J25" s="10" t="s">
        <v>118</v>
      </c>
      <c r="K25" s="10" t="s">
        <v>118</v>
      </c>
      <c r="L25" s="9" t="s">
        <v>120</v>
      </c>
      <c r="M25" s="9" t="s">
        <v>120</v>
      </c>
      <c r="N25" s="11" t="s">
        <v>119</v>
      </c>
      <c r="O25" s="11" t="s">
        <v>119</v>
      </c>
      <c r="P25" s="9" t="s">
        <v>120</v>
      </c>
      <c r="Q25" s="9" t="s">
        <v>120</v>
      </c>
      <c r="R25" s="11" t="s">
        <v>119</v>
      </c>
      <c r="S25" s="11" t="s">
        <v>119</v>
      </c>
      <c r="T25" s="10" t="s">
        <v>118</v>
      </c>
      <c r="U25" s="11" t="s">
        <v>119</v>
      </c>
      <c r="V25" s="11" t="s">
        <v>119</v>
      </c>
      <c r="W25" s="11" t="s">
        <v>119</v>
      </c>
      <c r="X25" s="11" t="s">
        <v>119</v>
      </c>
      <c r="Y25" s="31" t="s">
        <v>121</v>
      </c>
    </row>
    <row r="26" spans="1:25" ht="30.75">
      <c r="A26" s="6" t="s">
        <v>115</v>
      </c>
      <c r="B26" s="6">
        <v>23</v>
      </c>
      <c r="C26" s="7" t="s">
        <v>131</v>
      </c>
      <c r="D26" s="7" t="s">
        <v>148</v>
      </c>
      <c r="E26" s="10" t="s">
        <v>118</v>
      </c>
      <c r="F26" s="11" t="s">
        <v>119</v>
      </c>
      <c r="G26" s="11" t="s">
        <v>119</v>
      </c>
      <c r="H26" s="11" t="s">
        <v>119</v>
      </c>
      <c r="I26" s="9" t="s">
        <v>120</v>
      </c>
      <c r="J26" s="10" t="s">
        <v>118</v>
      </c>
      <c r="K26" s="10" t="s">
        <v>118</v>
      </c>
      <c r="L26" s="9" t="s">
        <v>120</v>
      </c>
      <c r="M26" s="9" t="s">
        <v>120</v>
      </c>
      <c r="N26" s="11" t="s">
        <v>119</v>
      </c>
      <c r="O26" s="11" t="s">
        <v>119</v>
      </c>
      <c r="P26" s="9" t="s">
        <v>120</v>
      </c>
      <c r="Q26" s="11" t="s">
        <v>119</v>
      </c>
      <c r="R26" s="11" t="s">
        <v>119</v>
      </c>
      <c r="S26" s="11" t="s">
        <v>119</v>
      </c>
      <c r="T26" s="9" t="s">
        <v>120</v>
      </c>
      <c r="U26" s="11" t="s">
        <v>119</v>
      </c>
      <c r="V26" s="11" t="s">
        <v>119</v>
      </c>
      <c r="W26" s="11" t="s">
        <v>119</v>
      </c>
      <c r="X26" s="11" t="s">
        <v>119</v>
      </c>
      <c r="Y26" s="31" t="s">
        <v>121</v>
      </c>
    </row>
    <row r="27" spans="1:25" ht="15">
      <c r="A27" s="6" t="s">
        <v>115</v>
      </c>
      <c r="B27" s="6">
        <v>24</v>
      </c>
      <c r="C27" s="7" t="s">
        <v>131</v>
      </c>
      <c r="D27" s="7" t="s">
        <v>149</v>
      </c>
      <c r="E27" s="11" t="s">
        <v>119</v>
      </c>
      <c r="F27" s="11" t="s">
        <v>119</v>
      </c>
      <c r="G27" s="11" t="s">
        <v>119</v>
      </c>
      <c r="H27" s="11" t="s">
        <v>119</v>
      </c>
      <c r="I27" s="11" t="s">
        <v>119</v>
      </c>
      <c r="J27" s="10" t="s">
        <v>118</v>
      </c>
      <c r="K27" s="9" t="s">
        <v>120</v>
      </c>
      <c r="L27" s="9" t="s">
        <v>120</v>
      </c>
      <c r="M27" s="9" t="s">
        <v>120</v>
      </c>
      <c r="N27" s="11" t="s">
        <v>119</v>
      </c>
      <c r="O27" s="11" t="s">
        <v>119</v>
      </c>
      <c r="P27" s="9" t="s">
        <v>120</v>
      </c>
      <c r="Q27" s="9" t="s">
        <v>120</v>
      </c>
      <c r="R27" s="11" t="s">
        <v>119</v>
      </c>
      <c r="S27" s="11" t="s">
        <v>119</v>
      </c>
      <c r="T27" s="10" t="s">
        <v>118</v>
      </c>
      <c r="U27" s="11" t="s">
        <v>119</v>
      </c>
      <c r="V27" s="11" t="s">
        <v>119</v>
      </c>
      <c r="W27" s="11" t="s">
        <v>119</v>
      </c>
      <c r="X27" s="11" t="s">
        <v>119</v>
      </c>
      <c r="Y27" s="31" t="s">
        <v>121</v>
      </c>
    </row>
    <row r="28" spans="1:25" ht="15">
      <c r="A28" s="6" t="s">
        <v>115</v>
      </c>
      <c r="B28" s="6">
        <v>25</v>
      </c>
      <c r="C28" s="7" t="s">
        <v>131</v>
      </c>
      <c r="D28" s="7" t="s">
        <v>150</v>
      </c>
      <c r="E28" s="11" t="s">
        <v>119</v>
      </c>
      <c r="F28" s="11" t="s">
        <v>119</v>
      </c>
      <c r="G28" s="11" t="s">
        <v>119</v>
      </c>
      <c r="H28" s="11" t="s">
        <v>119</v>
      </c>
      <c r="I28" s="11" t="s">
        <v>119</v>
      </c>
      <c r="J28" s="10" t="s">
        <v>118</v>
      </c>
      <c r="K28" s="9" t="s">
        <v>120</v>
      </c>
      <c r="L28" s="9" t="s">
        <v>120</v>
      </c>
      <c r="M28" s="10" t="s">
        <v>118</v>
      </c>
      <c r="N28" s="11" t="s">
        <v>119</v>
      </c>
      <c r="O28" s="11" t="s">
        <v>119</v>
      </c>
      <c r="P28" s="9" t="s">
        <v>120</v>
      </c>
      <c r="Q28" s="11" t="s">
        <v>119</v>
      </c>
      <c r="R28" s="11" t="s">
        <v>119</v>
      </c>
      <c r="S28" s="11" t="s">
        <v>119</v>
      </c>
      <c r="T28" s="10" t="s">
        <v>118</v>
      </c>
      <c r="U28" s="11" t="s">
        <v>119</v>
      </c>
      <c r="V28" s="9" t="s">
        <v>120</v>
      </c>
      <c r="W28" s="11" t="s">
        <v>119</v>
      </c>
      <c r="X28" s="11" t="s">
        <v>119</v>
      </c>
      <c r="Y28" s="31" t="s">
        <v>121</v>
      </c>
    </row>
    <row r="29" spans="1:25" ht="30.75">
      <c r="A29" s="6" t="s">
        <v>115</v>
      </c>
      <c r="B29" s="6">
        <v>26</v>
      </c>
      <c r="C29" s="7" t="s">
        <v>131</v>
      </c>
      <c r="D29" s="7" t="s">
        <v>151</v>
      </c>
      <c r="E29" s="10" t="s">
        <v>118</v>
      </c>
      <c r="F29" s="11" t="s">
        <v>119</v>
      </c>
      <c r="G29" s="11" t="s">
        <v>119</v>
      </c>
      <c r="H29" s="9" t="s">
        <v>120</v>
      </c>
      <c r="I29" s="9" t="s">
        <v>120</v>
      </c>
      <c r="J29" s="10" t="s">
        <v>118</v>
      </c>
      <c r="K29" s="10" t="s">
        <v>118</v>
      </c>
      <c r="L29" s="9" t="s">
        <v>120</v>
      </c>
      <c r="M29" s="10" t="s">
        <v>118</v>
      </c>
      <c r="N29" s="11" t="s">
        <v>119</v>
      </c>
      <c r="O29" s="11" t="s">
        <v>119</v>
      </c>
      <c r="P29" s="9" t="s">
        <v>120</v>
      </c>
      <c r="Q29" s="9" t="s">
        <v>120</v>
      </c>
      <c r="R29" s="11" t="s">
        <v>119</v>
      </c>
      <c r="S29" s="11" t="s">
        <v>119</v>
      </c>
      <c r="T29" s="10" t="s">
        <v>118</v>
      </c>
      <c r="U29" s="11" t="s">
        <v>119</v>
      </c>
      <c r="V29" s="9" t="s">
        <v>120</v>
      </c>
      <c r="W29" s="11" t="s">
        <v>119</v>
      </c>
      <c r="X29" s="11" t="s">
        <v>119</v>
      </c>
      <c r="Y29" s="31" t="s">
        <v>121</v>
      </c>
    </row>
    <row r="30" spans="1:25" ht="30.75">
      <c r="A30" s="6" t="s">
        <v>115</v>
      </c>
      <c r="B30" s="6">
        <v>27</v>
      </c>
      <c r="C30" s="7" t="s">
        <v>131</v>
      </c>
      <c r="D30" s="7" t="s">
        <v>152</v>
      </c>
      <c r="E30" s="11" t="s">
        <v>119</v>
      </c>
      <c r="F30" s="11" t="s">
        <v>119</v>
      </c>
      <c r="G30" s="11" t="s">
        <v>119</v>
      </c>
      <c r="H30" s="9" t="s">
        <v>120</v>
      </c>
      <c r="I30" s="9" t="s">
        <v>120</v>
      </c>
      <c r="J30" s="10" t="s">
        <v>118</v>
      </c>
      <c r="K30" s="10" t="s">
        <v>118</v>
      </c>
      <c r="L30" s="9" t="s">
        <v>120</v>
      </c>
      <c r="M30" s="10" t="s">
        <v>118</v>
      </c>
      <c r="N30" s="11" t="s">
        <v>119</v>
      </c>
      <c r="O30" s="11" t="s">
        <v>119</v>
      </c>
      <c r="P30" s="9" t="s">
        <v>120</v>
      </c>
      <c r="Q30" s="9" t="s">
        <v>120</v>
      </c>
      <c r="R30" s="11" t="s">
        <v>119</v>
      </c>
      <c r="S30" s="11" t="s">
        <v>119</v>
      </c>
      <c r="T30" s="10" t="s">
        <v>118</v>
      </c>
      <c r="U30" s="11" t="s">
        <v>119</v>
      </c>
      <c r="V30" s="9" t="s">
        <v>120</v>
      </c>
      <c r="W30" s="11" t="s">
        <v>119</v>
      </c>
      <c r="X30" s="11" t="s">
        <v>119</v>
      </c>
      <c r="Y30" s="31" t="s">
        <v>121</v>
      </c>
    </row>
    <row r="31" spans="1:25" ht="15">
      <c r="A31" s="6" t="s">
        <v>115</v>
      </c>
      <c r="B31" s="6">
        <v>28</v>
      </c>
      <c r="C31" s="7" t="s">
        <v>131</v>
      </c>
      <c r="D31" s="7" t="s">
        <v>153</v>
      </c>
      <c r="E31" s="11" t="s">
        <v>119</v>
      </c>
      <c r="F31" s="11" t="s">
        <v>119</v>
      </c>
      <c r="G31" s="11" t="s">
        <v>119</v>
      </c>
      <c r="H31" s="9" t="s">
        <v>120</v>
      </c>
      <c r="I31" s="11" t="s">
        <v>119</v>
      </c>
      <c r="J31" s="10" t="s">
        <v>118</v>
      </c>
      <c r="K31" s="10" t="s">
        <v>118</v>
      </c>
      <c r="L31" s="9" t="s">
        <v>120</v>
      </c>
      <c r="M31" s="10" t="s">
        <v>118</v>
      </c>
      <c r="N31" s="11" t="s">
        <v>119</v>
      </c>
      <c r="O31" s="11" t="s">
        <v>119</v>
      </c>
      <c r="P31" s="9" t="s">
        <v>120</v>
      </c>
      <c r="Q31" s="9" t="s">
        <v>120</v>
      </c>
      <c r="R31" s="11" t="s">
        <v>119</v>
      </c>
      <c r="S31" s="11" t="s">
        <v>119</v>
      </c>
      <c r="T31" s="10" t="s">
        <v>118</v>
      </c>
      <c r="U31" s="11" t="s">
        <v>119</v>
      </c>
      <c r="V31" s="9" t="s">
        <v>120</v>
      </c>
      <c r="W31" s="11" t="s">
        <v>119</v>
      </c>
      <c r="X31" s="11" t="s">
        <v>119</v>
      </c>
      <c r="Y31" s="31" t="s">
        <v>121</v>
      </c>
    </row>
    <row r="32" spans="1:25" ht="15">
      <c r="A32" s="6" t="s">
        <v>115</v>
      </c>
      <c r="B32" s="6">
        <v>29</v>
      </c>
      <c r="C32" s="7" t="s">
        <v>131</v>
      </c>
      <c r="D32" s="7" t="s">
        <v>154</v>
      </c>
      <c r="E32" s="11" t="s">
        <v>119</v>
      </c>
      <c r="F32" s="11" t="s">
        <v>119</v>
      </c>
      <c r="G32" s="11" t="s">
        <v>119</v>
      </c>
      <c r="H32" s="11" t="s">
        <v>119</v>
      </c>
      <c r="I32" s="11" t="s">
        <v>119</v>
      </c>
      <c r="J32" s="10" t="s">
        <v>118</v>
      </c>
      <c r="K32" s="9" t="s">
        <v>120</v>
      </c>
      <c r="L32" s="9" t="s">
        <v>120</v>
      </c>
      <c r="M32" s="9" t="s">
        <v>120</v>
      </c>
      <c r="N32" s="11" t="s">
        <v>119</v>
      </c>
      <c r="O32" s="11" t="s">
        <v>119</v>
      </c>
      <c r="P32" s="9" t="s">
        <v>120</v>
      </c>
      <c r="Q32" s="11" t="s">
        <v>119</v>
      </c>
      <c r="R32" s="11" t="s">
        <v>119</v>
      </c>
      <c r="S32" s="11" t="s">
        <v>119</v>
      </c>
      <c r="T32" s="10" t="s">
        <v>118</v>
      </c>
      <c r="U32" s="11" t="s">
        <v>119</v>
      </c>
      <c r="V32" s="11" t="s">
        <v>119</v>
      </c>
      <c r="W32" s="11" t="s">
        <v>119</v>
      </c>
      <c r="X32" s="11" t="s">
        <v>119</v>
      </c>
      <c r="Y32" s="31" t="s">
        <v>121</v>
      </c>
    </row>
    <row r="33" spans="1:25" ht="15">
      <c r="A33" s="6" t="s">
        <v>115</v>
      </c>
      <c r="B33" s="6">
        <v>30</v>
      </c>
      <c r="C33" s="7" t="s">
        <v>131</v>
      </c>
      <c r="D33" s="7" t="s">
        <v>155</v>
      </c>
      <c r="E33" s="11" t="s">
        <v>119</v>
      </c>
      <c r="F33" s="11" t="s">
        <v>119</v>
      </c>
      <c r="G33" s="11" t="s">
        <v>119</v>
      </c>
      <c r="H33" s="9" t="s">
        <v>120</v>
      </c>
      <c r="I33" s="11" t="s">
        <v>119</v>
      </c>
      <c r="J33" s="10" t="s">
        <v>118</v>
      </c>
      <c r="K33" s="9" t="s">
        <v>120</v>
      </c>
      <c r="L33" s="9" t="s">
        <v>120</v>
      </c>
      <c r="M33" s="10" t="s">
        <v>118</v>
      </c>
      <c r="N33" s="11" t="s">
        <v>119</v>
      </c>
      <c r="O33" s="11" t="s">
        <v>119</v>
      </c>
      <c r="P33" s="9" t="s">
        <v>120</v>
      </c>
      <c r="Q33" s="11" t="s">
        <v>119</v>
      </c>
      <c r="R33" s="11" t="s">
        <v>119</v>
      </c>
      <c r="S33" s="11" t="s">
        <v>119</v>
      </c>
      <c r="T33" s="10" t="s">
        <v>118</v>
      </c>
      <c r="U33" s="11" t="s">
        <v>119</v>
      </c>
      <c r="V33" s="9" t="s">
        <v>120</v>
      </c>
      <c r="W33" s="11" t="s">
        <v>119</v>
      </c>
      <c r="X33" s="11" t="s">
        <v>119</v>
      </c>
      <c r="Y33" s="31" t="s">
        <v>121</v>
      </c>
    </row>
    <row r="34" spans="1:25" ht="15">
      <c r="A34" s="6" t="s">
        <v>115</v>
      </c>
      <c r="B34" s="6">
        <v>31</v>
      </c>
      <c r="C34" s="7" t="s">
        <v>131</v>
      </c>
      <c r="D34" s="7" t="s">
        <v>156</v>
      </c>
      <c r="E34" s="11" t="s">
        <v>119</v>
      </c>
      <c r="F34" s="11" t="s">
        <v>119</v>
      </c>
      <c r="G34" s="11" t="s">
        <v>119</v>
      </c>
      <c r="H34" s="9" t="s">
        <v>120</v>
      </c>
      <c r="I34" s="11" t="s">
        <v>119</v>
      </c>
      <c r="J34" s="10" t="s">
        <v>118</v>
      </c>
      <c r="K34" s="9" t="s">
        <v>120</v>
      </c>
      <c r="L34" s="9" t="s">
        <v>120</v>
      </c>
      <c r="M34" s="10" t="s">
        <v>118</v>
      </c>
      <c r="N34" s="11" t="s">
        <v>119</v>
      </c>
      <c r="O34" s="11" t="s">
        <v>119</v>
      </c>
      <c r="P34" s="9" t="s">
        <v>120</v>
      </c>
      <c r="Q34" s="11" t="s">
        <v>119</v>
      </c>
      <c r="R34" s="11" t="s">
        <v>119</v>
      </c>
      <c r="S34" s="11" t="s">
        <v>119</v>
      </c>
      <c r="T34" s="10" t="s">
        <v>118</v>
      </c>
      <c r="U34" s="11" t="s">
        <v>119</v>
      </c>
      <c r="V34" s="9" t="s">
        <v>120</v>
      </c>
      <c r="W34" s="11" t="s">
        <v>119</v>
      </c>
      <c r="X34" s="11" t="s">
        <v>119</v>
      </c>
      <c r="Y34" s="31" t="s">
        <v>121</v>
      </c>
    </row>
    <row r="35" spans="1:25" ht="15">
      <c r="A35" s="6" t="s">
        <v>115</v>
      </c>
      <c r="B35" s="6">
        <v>32</v>
      </c>
      <c r="C35" s="7" t="s">
        <v>131</v>
      </c>
      <c r="D35" s="7" t="s">
        <v>157</v>
      </c>
      <c r="E35" s="11" t="s">
        <v>119</v>
      </c>
      <c r="F35" s="11" t="s">
        <v>119</v>
      </c>
      <c r="G35" s="11" t="s">
        <v>119</v>
      </c>
      <c r="H35" s="9" t="s">
        <v>120</v>
      </c>
      <c r="I35" s="11" t="s">
        <v>119</v>
      </c>
      <c r="J35" s="10" t="s">
        <v>118</v>
      </c>
      <c r="K35" s="9" t="s">
        <v>120</v>
      </c>
      <c r="L35" s="9" t="s">
        <v>120</v>
      </c>
      <c r="M35" s="10" t="s">
        <v>118</v>
      </c>
      <c r="N35" s="11" t="s">
        <v>119</v>
      </c>
      <c r="O35" s="11" t="s">
        <v>119</v>
      </c>
      <c r="P35" s="9" t="s">
        <v>120</v>
      </c>
      <c r="Q35" s="11" t="s">
        <v>119</v>
      </c>
      <c r="R35" s="11" t="s">
        <v>119</v>
      </c>
      <c r="S35" s="11" t="s">
        <v>119</v>
      </c>
      <c r="T35" s="10" t="s">
        <v>118</v>
      </c>
      <c r="U35" s="11" t="s">
        <v>119</v>
      </c>
      <c r="V35" s="9" t="s">
        <v>120</v>
      </c>
      <c r="W35" s="11" t="s">
        <v>119</v>
      </c>
      <c r="X35" s="11" t="s">
        <v>119</v>
      </c>
      <c r="Y35" s="31" t="s">
        <v>121</v>
      </c>
    </row>
    <row r="36" spans="1:25" ht="15">
      <c r="A36" s="6" t="s">
        <v>115</v>
      </c>
      <c r="B36" s="6">
        <v>33</v>
      </c>
      <c r="C36" s="7" t="s">
        <v>131</v>
      </c>
      <c r="D36" s="7" t="s">
        <v>158</v>
      </c>
      <c r="E36" s="10" t="s">
        <v>118</v>
      </c>
      <c r="F36" s="11" t="s">
        <v>119</v>
      </c>
      <c r="G36" s="11" t="s">
        <v>119</v>
      </c>
      <c r="H36" s="11" t="s">
        <v>119</v>
      </c>
      <c r="I36" s="11" t="s">
        <v>119</v>
      </c>
      <c r="J36" s="10" t="s">
        <v>118</v>
      </c>
      <c r="K36" s="9" t="s">
        <v>120</v>
      </c>
      <c r="L36" s="9" t="s">
        <v>120</v>
      </c>
      <c r="M36" s="10" t="s">
        <v>118</v>
      </c>
      <c r="N36" s="11" t="s">
        <v>119</v>
      </c>
      <c r="O36" s="11" t="s">
        <v>119</v>
      </c>
      <c r="P36" s="9" t="s">
        <v>120</v>
      </c>
      <c r="Q36" s="11" t="s">
        <v>119</v>
      </c>
      <c r="R36" s="11" t="s">
        <v>119</v>
      </c>
      <c r="S36" s="11" t="s">
        <v>119</v>
      </c>
      <c r="T36" s="10" t="s">
        <v>118</v>
      </c>
      <c r="U36" s="11" t="s">
        <v>119</v>
      </c>
      <c r="V36" s="9" t="s">
        <v>120</v>
      </c>
      <c r="W36" s="11" t="s">
        <v>119</v>
      </c>
      <c r="X36" s="11" t="s">
        <v>119</v>
      </c>
      <c r="Y36" s="31" t="s">
        <v>121</v>
      </c>
    </row>
    <row r="37" spans="1:25" ht="15">
      <c r="A37" s="6" t="s">
        <v>115</v>
      </c>
      <c r="B37" s="6">
        <v>34</v>
      </c>
      <c r="C37" s="7" t="s">
        <v>131</v>
      </c>
      <c r="D37" s="7" t="s">
        <v>159</v>
      </c>
      <c r="E37" s="11" t="s">
        <v>119</v>
      </c>
      <c r="F37" s="11" t="s">
        <v>119</v>
      </c>
      <c r="G37" s="11" t="s">
        <v>119</v>
      </c>
      <c r="H37" s="11" t="s">
        <v>119</v>
      </c>
      <c r="I37" s="11" t="s">
        <v>119</v>
      </c>
      <c r="J37" s="10" t="s">
        <v>118</v>
      </c>
      <c r="K37" s="9" t="s">
        <v>120</v>
      </c>
      <c r="L37" s="9" t="s">
        <v>120</v>
      </c>
      <c r="M37" s="9" t="s">
        <v>120</v>
      </c>
      <c r="N37" s="11" t="s">
        <v>119</v>
      </c>
      <c r="O37" s="11" t="s">
        <v>119</v>
      </c>
      <c r="P37" s="9" t="s">
        <v>120</v>
      </c>
      <c r="Q37" s="11" t="s">
        <v>119</v>
      </c>
      <c r="R37" s="11" t="s">
        <v>119</v>
      </c>
      <c r="S37" s="11" t="s">
        <v>119</v>
      </c>
      <c r="T37" s="10" t="s">
        <v>118</v>
      </c>
      <c r="U37" s="11" t="s">
        <v>119</v>
      </c>
      <c r="V37" s="11" t="s">
        <v>119</v>
      </c>
      <c r="W37" s="11" t="s">
        <v>119</v>
      </c>
      <c r="X37" s="11" t="s">
        <v>119</v>
      </c>
      <c r="Y37" s="31" t="s">
        <v>121</v>
      </c>
    </row>
    <row r="38" spans="1:25" ht="15">
      <c r="A38" s="6" t="s">
        <v>115</v>
      </c>
      <c r="B38" s="6">
        <v>35</v>
      </c>
      <c r="C38" s="7" t="s">
        <v>131</v>
      </c>
      <c r="D38" s="7" t="s">
        <v>160</v>
      </c>
      <c r="E38" s="11" t="s">
        <v>119</v>
      </c>
      <c r="F38" s="11" t="s">
        <v>119</v>
      </c>
      <c r="G38" s="11" t="s">
        <v>119</v>
      </c>
      <c r="H38" s="11" t="s">
        <v>119</v>
      </c>
      <c r="I38" s="11" t="s">
        <v>119</v>
      </c>
      <c r="J38" s="10" t="s">
        <v>118</v>
      </c>
      <c r="K38" s="9" t="s">
        <v>120</v>
      </c>
      <c r="L38" s="9" t="s">
        <v>120</v>
      </c>
      <c r="M38" s="10" t="s">
        <v>118</v>
      </c>
      <c r="N38" s="11" t="s">
        <v>119</v>
      </c>
      <c r="O38" s="11" t="s">
        <v>119</v>
      </c>
      <c r="P38" s="9" t="s">
        <v>120</v>
      </c>
      <c r="Q38" s="11" t="s">
        <v>119</v>
      </c>
      <c r="R38" s="11" t="s">
        <v>119</v>
      </c>
      <c r="S38" s="11" t="s">
        <v>119</v>
      </c>
      <c r="T38" s="10" t="s">
        <v>118</v>
      </c>
      <c r="U38" s="11" t="s">
        <v>119</v>
      </c>
      <c r="V38" s="9" t="s">
        <v>120</v>
      </c>
      <c r="W38" s="11" t="s">
        <v>119</v>
      </c>
      <c r="X38" s="11" t="s">
        <v>119</v>
      </c>
      <c r="Y38" s="31" t="s">
        <v>121</v>
      </c>
    </row>
    <row r="39" spans="1:25" ht="15">
      <c r="A39" s="6" t="s">
        <v>115</v>
      </c>
      <c r="B39" s="6">
        <v>36</v>
      </c>
      <c r="C39" s="7" t="s">
        <v>131</v>
      </c>
      <c r="D39" s="7" t="s">
        <v>161</v>
      </c>
      <c r="E39" s="11" t="s">
        <v>119</v>
      </c>
      <c r="F39" s="11" t="s">
        <v>119</v>
      </c>
      <c r="G39" s="11" t="s">
        <v>119</v>
      </c>
      <c r="H39" s="11" t="s">
        <v>119</v>
      </c>
      <c r="I39" s="11" t="s">
        <v>119</v>
      </c>
      <c r="J39" s="10" t="s">
        <v>118</v>
      </c>
      <c r="K39" s="10" t="s">
        <v>118</v>
      </c>
      <c r="L39" s="9" t="s">
        <v>120</v>
      </c>
      <c r="M39" s="9" t="s">
        <v>120</v>
      </c>
      <c r="N39" s="11" t="s">
        <v>119</v>
      </c>
      <c r="O39" s="11" t="s">
        <v>119</v>
      </c>
      <c r="P39" s="9" t="s">
        <v>120</v>
      </c>
      <c r="Q39" s="11" t="s">
        <v>119</v>
      </c>
      <c r="R39" s="11" t="s">
        <v>119</v>
      </c>
      <c r="S39" s="11" t="s">
        <v>119</v>
      </c>
      <c r="T39" s="10" t="s">
        <v>118</v>
      </c>
      <c r="U39" s="11" t="s">
        <v>119</v>
      </c>
      <c r="V39" s="11" t="s">
        <v>119</v>
      </c>
      <c r="W39" s="11" t="s">
        <v>119</v>
      </c>
      <c r="X39" s="11" t="s">
        <v>119</v>
      </c>
      <c r="Y39" s="31" t="s">
        <v>121</v>
      </c>
    </row>
    <row r="40" spans="1:25" ht="15">
      <c r="A40" s="6" t="s">
        <v>115</v>
      </c>
      <c r="B40" s="6">
        <v>37</v>
      </c>
      <c r="C40" s="7" t="s">
        <v>131</v>
      </c>
      <c r="D40" s="7" t="s">
        <v>162</v>
      </c>
      <c r="E40" s="11" t="s">
        <v>119</v>
      </c>
      <c r="F40" s="11" t="s">
        <v>119</v>
      </c>
      <c r="G40" s="11" t="s">
        <v>119</v>
      </c>
      <c r="H40" s="11" t="s">
        <v>119</v>
      </c>
      <c r="I40" s="11" t="s">
        <v>119</v>
      </c>
      <c r="J40" s="10" t="s">
        <v>118</v>
      </c>
      <c r="K40" s="9" t="s">
        <v>120</v>
      </c>
      <c r="L40" s="9" t="s">
        <v>120</v>
      </c>
      <c r="M40" s="9" t="s">
        <v>120</v>
      </c>
      <c r="N40" s="11" t="s">
        <v>119</v>
      </c>
      <c r="O40" s="11" t="s">
        <v>119</v>
      </c>
      <c r="P40" s="9" t="s">
        <v>120</v>
      </c>
      <c r="Q40" s="11" t="s">
        <v>119</v>
      </c>
      <c r="R40" s="11" t="s">
        <v>119</v>
      </c>
      <c r="S40" s="11" t="s">
        <v>119</v>
      </c>
      <c r="T40" s="10" t="s">
        <v>118</v>
      </c>
      <c r="U40" s="11" t="s">
        <v>119</v>
      </c>
      <c r="V40" s="11" t="s">
        <v>119</v>
      </c>
      <c r="W40" s="11" t="s">
        <v>119</v>
      </c>
      <c r="X40" s="11" t="s">
        <v>119</v>
      </c>
      <c r="Y40" s="31" t="s">
        <v>121</v>
      </c>
    </row>
    <row r="41" spans="1:25" ht="15">
      <c r="A41" s="6" t="s">
        <v>115</v>
      </c>
      <c r="B41" s="6">
        <v>38</v>
      </c>
      <c r="C41" s="7" t="s">
        <v>131</v>
      </c>
      <c r="D41" s="7" t="s">
        <v>163</v>
      </c>
      <c r="E41" s="11" t="s">
        <v>119</v>
      </c>
      <c r="F41" s="11" t="s">
        <v>119</v>
      </c>
      <c r="G41" s="11" t="s">
        <v>119</v>
      </c>
      <c r="H41" s="11" t="s">
        <v>119</v>
      </c>
      <c r="I41" s="11" t="s">
        <v>119</v>
      </c>
      <c r="J41" s="10" t="s">
        <v>118</v>
      </c>
      <c r="K41" s="9" t="s">
        <v>120</v>
      </c>
      <c r="L41" s="9" t="s">
        <v>120</v>
      </c>
      <c r="M41" s="9" t="s">
        <v>120</v>
      </c>
      <c r="N41" s="11" t="s">
        <v>119</v>
      </c>
      <c r="O41" s="11" t="s">
        <v>119</v>
      </c>
      <c r="P41" s="9" t="s">
        <v>120</v>
      </c>
      <c r="Q41" s="11" t="s">
        <v>119</v>
      </c>
      <c r="R41" s="11" t="s">
        <v>119</v>
      </c>
      <c r="S41" s="11" t="s">
        <v>119</v>
      </c>
      <c r="T41" s="10" t="s">
        <v>118</v>
      </c>
      <c r="U41" s="11" t="s">
        <v>119</v>
      </c>
      <c r="V41" s="11" t="s">
        <v>119</v>
      </c>
      <c r="W41" s="11" t="s">
        <v>119</v>
      </c>
      <c r="X41" s="11" t="s">
        <v>119</v>
      </c>
      <c r="Y41" s="31" t="s">
        <v>121</v>
      </c>
    </row>
    <row r="42" spans="1:25" ht="15">
      <c r="A42" s="6" t="s">
        <v>115</v>
      </c>
      <c r="B42" s="6">
        <v>39</v>
      </c>
      <c r="C42" s="7" t="s">
        <v>131</v>
      </c>
      <c r="D42" s="7" t="s">
        <v>164</v>
      </c>
      <c r="E42" s="10" t="s">
        <v>118</v>
      </c>
      <c r="F42" s="11" t="s">
        <v>119</v>
      </c>
      <c r="G42" s="11" t="s">
        <v>119</v>
      </c>
      <c r="H42" s="11" t="s">
        <v>119</v>
      </c>
      <c r="I42" s="11" t="s">
        <v>119</v>
      </c>
      <c r="J42" s="9" t="s">
        <v>120</v>
      </c>
      <c r="K42" s="10" t="s">
        <v>118</v>
      </c>
      <c r="L42" s="11" t="s">
        <v>119</v>
      </c>
      <c r="M42" s="9" t="s">
        <v>120</v>
      </c>
      <c r="N42" s="11" t="s">
        <v>119</v>
      </c>
      <c r="O42" s="11" t="s">
        <v>119</v>
      </c>
      <c r="P42" s="9" t="s">
        <v>120</v>
      </c>
      <c r="Q42" s="11" t="s">
        <v>119</v>
      </c>
      <c r="R42" s="11" t="s">
        <v>119</v>
      </c>
      <c r="S42" s="11" t="s">
        <v>119</v>
      </c>
      <c r="T42" s="11" t="s">
        <v>119</v>
      </c>
      <c r="U42" s="11" t="s">
        <v>119</v>
      </c>
      <c r="V42" s="9" t="s">
        <v>120</v>
      </c>
      <c r="W42" s="11" t="s">
        <v>119</v>
      </c>
      <c r="X42" s="11" t="s">
        <v>119</v>
      </c>
      <c r="Y42" s="31" t="s">
        <v>121</v>
      </c>
    </row>
    <row r="43" spans="1:25" ht="15">
      <c r="A43" s="6" t="s">
        <v>115</v>
      </c>
      <c r="B43" s="6">
        <v>40</v>
      </c>
      <c r="C43" s="7" t="s">
        <v>131</v>
      </c>
      <c r="D43" s="7" t="s">
        <v>165</v>
      </c>
      <c r="E43" s="11" t="s">
        <v>119</v>
      </c>
      <c r="F43" s="11" t="s">
        <v>119</v>
      </c>
      <c r="G43" s="11" t="s">
        <v>119</v>
      </c>
      <c r="H43" s="11" t="s">
        <v>119</v>
      </c>
      <c r="I43" s="11" t="s">
        <v>119</v>
      </c>
      <c r="J43" s="10" t="s">
        <v>118</v>
      </c>
      <c r="K43" s="10" t="s">
        <v>118</v>
      </c>
      <c r="L43" s="9" t="s">
        <v>120</v>
      </c>
      <c r="M43" s="9" t="s">
        <v>120</v>
      </c>
      <c r="N43" s="11" t="s">
        <v>119</v>
      </c>
      <c r="O43" s="11" t="s">
        <v>119</v>
      </c>
      <c r="P43" s="9" t="s">
        <v>120</v>
      </c>
      <c r="Q43" s="11" t="s">
        <v>119</v>
      </c>
      <c r="R43" s="11" t="s">
        <v>119</v>
      </c>
      <c r="S43" s="11" t="s">
        <v>119</v>
      </c>
      <c r="T43" s="10" t="s">
        <v>118</v>
      </c>
      <c r="U43" s="11" t="s">
        <v>119</v>
      </c>
      <c r="V43" s="11" t="s">
        <v>119</v>
      </c>
      <c r="W43" s="11" t="s">
        <v>119</v>
      </c>
      <c r="X43" s="11" t="s">
        <v>119</v>
      </c>
      <c r="Y43" s="31" t="s">
        <v>121</v>
      </c>
    </row>
    <row r="44" spans="1:25" ht="15">
      <c r="A44" s="6" t="s">
        <v>115</v>
      </c>
      <c r="B44" s="6">
        <v>41</v>
      </c>
      <c r="C44" s="7" t="s">
        <v>131</v>
      </c>
      <c r="D44" s="7" t="s">
        <v>166</v>
      </c>
      <c r="E44" s="11" t="s">
        <v>119</v>
      </c>
      <c r="F44" s="11" t="s">
        <v>119</v>
      </c>
      <c r="G44" s="11" t="s">
        <v>119</v>
      </c>
      <c r="H44" s="11" t="s">
        <v>119</v>
      </c>
      <c r="I44" s="11" t="s">
        <v>119</v>
      </c>
      <c r="J44" s="10" t="s">
        <v>118</v>
      </c>
      <c r="K44" s="10" t="s">
        <v>118</v>
      </c>
      <c r="L44" s="9" t="s">
        <v>120</v>
      </c>
      <c r="M44" s="9" t="s">
        <v>120</v>
      </c>
      <c r="N44" s="11" t="s">
        <v>119</v>
      </c>
      <c r="O44" s="11" t="s">
        <v>119</v>
      </c>
      <c r="P44" s="9" t="s">
        <v>120</v>
      </c>
      <c r="Q44" s="11" t="s">
        <v>119</v>
      </c>
      <c r="R44" s="11" t="s">
        <v>119</v>
      </c>
      <c r="S44" s="11" t="s">
        <v>119</v>
      </c>
      <c r="T44" s="10" t="s">
        <v>118</v>
      </c>
      <c r="U44" s="11" t="s">
        <v>119</v>
      </c>
      <c r="V44" s="11" t="s">
        <v>119</v>
      </c>
      <c r="W44" s="11" t="s">
        <v>119</v>
      </c>
      <c r="X44" s="11" t="s">
        <v>119</v>
      </c>
      <c r="Y44" s="31" t="s">
        <v>121</v>
      </c>
    </row>
    <row r="45" spans="1:25" ht="15">
      <c r="A45" s="6" t="s">
        <v>115</v>
      </c>
      <c r="B45" s="6">
        <v>42</v>
      </c>
      <c r="C45" s="7" t="s">
        <v>131</v>
      </c>
      <c r="D45" s="7" t="s">
        <v>167</v>
      </c>
      <c r="E45" s="11" t="s">
        <v>119</v>
      </c>
      <c r="F45" s="11" t="s">
        <v>119</v>
      </c>
      <c r="G45" s="11" t="s">
        <v>119</v>
      </c>
      <c r="H45" s="11" t="s">
        <v>119</v>
      </c>
      <c r="I45" s="11" t="s">
        <v>119</v>
      </c>
      <c r="J45" s="10" t="s">
        <v>118</v>
      </c>
      <c r="K45" s="10" t="s">
        <v>118</v>
      </c>
      <c r="L45" s="9" t="s">
        <v>120</v>
      </c>
      <c r="M45" s="9" t="s">
        <v>120</v>
      </c>
      <c r="N45" s="11" t="s">
        <v>119</v>
      </c>
      <c r="O45" s="11" t="s">
        <v>119</v>
      </c>
      <c r="P45" s="9" t="s">
        <v>120</v>
      </c>
      <c r="Q45" s="11" t="s">
        <v>119</v>
      </c>
      <c r="R45" s="11" t="s">
        <v>119</v>
      </c>
      <c r="S45" s="11" t="s">
        <v>119</v>
      </c>
      <c r="T45" s="10" t="s">
        <v>118</v>
      </c>
      <c r="U45" s="11" t="s">
        <v>119</v>
      </c>
      <c r="V45" s="11" t="s">
        <v>119</v>
      </c>
      <c r="W45" s="11" t="s">
        <v>119</v>
      </c>
      <c r="X45" s="11" t="s">
        <v>119</v>
      </c>
      <c r="Y45" s="31" t="s">
        <v>121</v>
      </c>
    </row>
    <row r="46" spans="1:25" ht="15">
      <c r="A46" s="6" t="s">
        <v>115</v>
      </c>
      <c r="B46" s="6">
        <v>43</v>
      </c>
      <c r="C46" s="7" t="s">
        <v>131</v>
      </c>
      <c r="D46" s="7" t="s">
        <v>168</v>
      </c>
      <c r="E46" s="11" t="s">
        <v>119</v>
      </c>
      <c r="F46" s="11" t="s">
        <v>119</v>
      </c>
      <c r="G46" s="11" t="s">
        <v>119</v>
      </c>
      <c r="H46" s="11" t="s">
        <v>119</v>
      </c>
      <c r="I46" s="11" t="s">
        <v>119</v>
      </c>
      <c r="J46" s="10" t="s">
        <v>118</v>
      </c>
      <c r="K46" s="10" t="s">
        <v>118</v>
      </c>
      <c r="L46" s="9" t="s">
        <v>120</v>
      </c>
      <c r="M46" s="9" t="s">
        <v>120</v>
      </c>
      <c r="N46" s="11" t="s">
        <v>119</v>
      </c>
      <c r="O46" s="11" t="s">
        <v>119</v>
      </c>
      <c r="P46" s="9" t="s">
        <v>120</v>
      </c>
      <c r="Q46" s="11" t="s">
        <v>119</v>
      </c>
      <c r="R46" s="11" t="s">
        <v>119</v>
      </c>
      <c r="S46" s="11" t="s">
        <v>119</v>
      </c>
      <c r="T46" s="10" t="s">
        <v>118</v>
      </c>
      <c r="U46" s="11" t="s">
        <v>119</v>
      </c>
      <c r="V46" s="11" t="s">
        <v>119</v>
      </c>
      <c r="W46" s="11" t="s">
        <v>119</v>
      </c>
      <c r="X46" s="11" t="s">
        <v>119</v>
      </c>
      <c r="Y46" s="31" t="s">
        <v>121</v>
      </c>
    </row>
    <row r="47" spans="1:25" ht="15">
      <c r="A47" s="6" t="s">
        <v>115</v>
      </c>
      <c r="B47" s="6">
        <v>44</v>
      </c>
      <c r="C47" s="7" t="s">
        <v>131</v>
      </c>
      <c r="D47" s="7" t="s">
        <v>169</v>
      </c>
      <c r="E47" s="10" t="s">
        <v>118</v>
      </c>
      <c r="F47" s="11" t="s">
        <v>119</v>
      </c>
      <c r="G47" s="11" t="s">
        <v>119</v>
      </c>
      <c r="H47" s="11" t="s">
        <v>119</v>
      </c>
      <c r="I47" s="11" t="s">
        <v>119</v>
      </c>
      <c r="J47" s="10" t="s">
        <v>118</v>
      </c>
      <c r="K47" s="10" t="s">
        <v>118</v>
      </c>
      <c r="L47" s="9" t="s">
        <v>120</v>
      </c>
      <c r="M47" s="10" t="s">
        <v>118</v>
      </c>
      <c r="N47" s="11" t="s">
        <v>119</v>
      </c>
      <c r="O47" s="11" t="s">
        <v>119</v>
      </c>
      <c r="P47" s="9" t="s">
        <v>120</v>
      </c>
      <c r="Q47" s="11" t="s">
        <v>119</v>
      </c>
      <c r="R47" s="11" t="s">
        <v>119</v>
      </c>
      <c r="S47" s="11" t="s">
        <v>119</v>
      </c>
      <c r="T47" s="10" t="s">
        <v>118</v>
      </c>
      <c r="U47" s="11" t="s">
        <v>119</v>
      </c>
      <c r="V47" s="9" t="s">
        <v>120</v>
      </c>
      <c r="W47" s="11" t="s">
        <v>119</v>
      </c>
      <c r="X47" s="11" t="s">
        <v>119</v>
      </c>
      <c r="Y47" s="31" t="s">
        <v>121</v>
      </c>
    </row>
    <row r="48" spans="1:25" ht="15">
      <c r="A48" s="6" t="s">
        <v>115</v>
      </c>
      <c r="B48" s="6">
        <v>45</v>
      </c>
      <c r="C48" s="7" t="s">
        <v>131</v>
      </c>
      <c r="D48" s="7" t="s">
        <v>170</v>
      </c>
      <c r="E48" s="11" t="s">
        <v>119</v>
      </c>
      <c r="F48" s="11" t="s">
        <v>119</v>
      </c>
      <c r="G48" s="11" t="s">
        <v>119</v>
      </c>
      <c r="H48" s="11" t="s">
        <v>119</v>
      </c>
      <c r="I48" s="11" t="s">
        <v>119</v>
      </c>
      <c r="J48" s="10" t="s">
        <v>118</v>
      </c>
      <c r="K48" s="10" t="s">
        <v>118</v>
      </c>
      <c r="L48" s="9" t="s">
        <v>120</v>
      </c>
      <c r="M48" s="10" t="s">
        <v>118</v>
      </c>
      <c r="N48" s="11" t="s">
        <v>119</v>
      </c>
      <c r="O48" s="11" t="s">
        <v>119</v>
      </c>
      <c r="P48" s="9" t="s">
        <v>120</v>
      </c>
      <c r="Q48" s="11" t="s">
        <v>119</v>
      </c>
      <c r="R48" s="11" t="s">
        <v>119</v>
      </c>
      <c r="S48" s="11" t="s">
        <v>119</v>
      </c>
      <c r="T48" s="10" t="s">
        <v>118</v>
      </c>
      <c r="U48" s="11" t="s">
        <v>119</v>
      </c>
      <c r="V48" s="9" t="s">
        <v>120</v>
      </c>
      <c r="W48" s="11" t="s">
        <v>119</v>
      </c>
      <c r="X48" s="11" t="s">
        <v>119</v>
      </c>
      <c r="Y48" s="31" t="s">
        <v>121</v>
      </c>
    </row>
    <row r="49" spans="1:25" ht="15">
      <c r="A49" s="6" t="s">
        <v>115</v>
      </c>
      <c r="B49" s="6">
        <v>46</v>
      </c>
      <c r="C49" s="7" t="s">
        <v>131</v>
      </c>
      <c r="D49" s="7" t="s">
        <v>171</v>
      </c>
      <c r="E49" s="10" t="s">
        <v>118</v>
      </c>
      <c r="F49" s="11" t="s">
        <v>119</v>
      </c>
      <c r="G49" s="11" t="s">
        <v>119</v>
      </c>
      <c r="H49" s="11" t="s">
        <v>119</v>
      </c>
      <c r="I49" s="11" t="s">
        <v>119</v>
      </c>
      <c r="J49" s="10" t="s">
        <v>118</v>
      </c>
      <c r="K49" s="9" t="s">
        <v>120</v>
      </c>
      <c r="L49" s="9" t="s">
        <v>120</v>
      </c>
      <c r="M49" s="10" t="s">
        <v>118</v>
      </c>
      <c r="N49" s="11" t="s">
        <v>119</v>
      </c>
      <c r="O49" s="11" t="s">
        <v>119</v>
      </c>
      <c r="P49" s="9" t="s">
        <v>120</v>
      </c>
      <c r="Q49" s="11" t="s">
        <v>119</v>
      </c>
      <c r="R49" s="11" t="s">
        <v>119</v>
      </c>
      <c r="S49" s="11" t="s">
        <v>119</v>
      </c>
      <c r="T49" s="10" t="s">
        <v>118</v>
      </c>
      <c r="U49" s="11" t="s">
        <v>119</v>
      </c>
      <c r="V49" s="11" t="s">
        <v>119</v>
      </c>
      <c r="W49" s="11" t="s">
        <v>119</v>
      </c>
      <c r="X49" s="11" t="s">
        <v>119</v>
      </c>
      <c r="Y49" s="31" t="s">
        <v>121</v>
      </c>
    </row>
    <row r="50" spans="1:25" ht="15">
      <c r="A50" s="6" t="s">
        <v>115</v>
      </c>
      <c r="B50" s="6">
        <v>47</v>
      </c>
      <c r="C50" s="7" t="s">
        <v>131</v>
      </c>
      <c r="D50" s="7" t="s">
        <v>172</v>
      </c>
      <c r="E50" s="10" t="s">
        <v>118</v>
      </c>
      <c r="F50" s="11" t="s">
        <v>119</v>
      </c>
      <c r="G50" s="11" t="s">
        <v>119</v>
      </c>
      <c r="H50" s="11" t="s">
        <v>119</v>
      </c>
      <c r="I50" s="11" t="s">
        <v>119</v>
      </c>
      <c r="J50" s="10" t="s">
        <v>118</v>
      </c>
      <c r="K50" s="10" t="s">
        <v>118</v>
      </c>
      <c r="L50" s="9" t="s">
        <v>120</v>
      </c>
      <c r="M50" s="10" t="s">
        <v>118</v>
      </c>
      <c r="N50" s="11" t="s">
        <v>119</v>
      </c>
      <c r="O50" s="11" t="s">
        <v>119</v>
      </c>
      <c r="P50" s="9" t="s">
        <v>120</v>
      </c>
      <c r="Q50" s="11" t="s">
        <v>119</v>
      </c>
      <c r="R50" s="11" t="s">
        <v>119</v>
      </c>
      <c r="S50" s="11" t="s">
        <v>119</v>
      </c>
      <c r="T50" s="10" t="s">
        <v>118</v>
      </c>
      <c r="U50" s="11" t="s">
        <v>119</v>
      </c>
      <c r="V50" s="11" t="s">
        <v>119</v>
      </c>
      <c r="W50" s="11" t="s">
        <v>119</v>
      </c>
      <c r="X50" s="11" t="s">
        <v>119</v>
      </c>
      <c r="Y50" s="31" t="s">
        <v>121</v>
      </c>
    </row>
    <row r="51" spans="1:25" ht="30.75">
      <c r="A51" s="6" t="s">
        <v>115</v>
      </c>
      <c r="B51" s="6">
        <v>48</v>
      </c>
      <c r="C51" s="7" t="s">
        <v>131</v>
      </c>
      <c r="D51" s="7" t="s">
        <v>173</v>
      </c>
      <c r="E51" s="10" t="s">
        <v>118</v>
      </c>
      <c r="F51" s="11" t="s">
        <v>119</v>
      </c>
      <c r="G51" s="11" t="s">
        <v>119</v>
      </c>
      <c r="H51" s="11" t="s">
        <v>119</v>
      </c>
      <c r="I51" s="9" t="s">
        <v>120</v>
      </c>
      <c r="J51" s="10" t="s">
        <v>118</v>
      </c>
      <c r="K51" s="10" t="s">
        <v>118</v>
      </c>
      <c r="L51" s="9" t="s">
        <v>120</v>
      </c>
      <c r="M51" s="10" t="s">
        <v>118</v>
      </c>
      <c r="N51" s="11" t="s">
        <v>119</v>
      </c>
      <c r="O51" s="11" t="s">
        <v>119</v>
      </c>
      <c r="P51" s="9" t="s">
        <v>120</v>
      </c>
      <c r="Q51" s="11" t="s">
        <v>119</v>
      </c>
      <c r="R51" s="11" t="s">
        <v>119</v>
      </c>
      <c r="S51" s="11" t="s">
        <v>119</v>
      </c>
      <c r="T51" s="10" t="s">
        <v>118</v>
      </c>
      <c r="U51" s="11" t="s">
        <v>119</v>
      </c>
      <c r="V51" s="11" t="s">
        <v>119</v>
      </c>
      <c r="W51" s="11" t="s">
        <v>119</v>
      </c>
      <c r="X51" s="11" t="s">
        <v>119</v>
      </c>
      <c r="Y51" s="31" t="s">
        <v>121</v>
      </c>
    </row>
    <row r="52" spans="1:25" ht="30.75">
      <c r="A52" s="6" t="s">
        <v>115</v>
      </c>
      <c r="B52" s="6">
        <v>49</v>
      </c>
      <c r="C52" s="7" t="s">
        <v>174</v>
      </c>
      <c r="D52" s="7" t="s">
        <v>175</v>
      </c>
      <c r="E52" s="10" t="s">
        <v>118</v>
      </c>
      <c r="F52" s="11" t="s">
        <v>119</v>
      </c>
      <c r="G52" s="10" t="s">
        <v>118</v>
      </c>
      <c r="H52" s="11" t="s">
        <v>119</v>
      </c>
      <c r="I52" s="9" t="s">
        <v>120</v>
      </c>
      <c r="J52" s="10" t="s">
        <v>118</v>
      </c>
      <c r="K52" s="10" t="s">
        <v>118</v>
      </c>
      <c r="L52" s="9" t="s">
        <v>120</v>
      </c>
      <c r="M52" s="10" t="s">
        <v>118</v>
      </c>
      <c r="N52" s="11" t="s">
        <v>119</v>
      </c>
      <c r="O52" s="11" t="s">
        <v>119</v>
      </c>
      <c r="P52" s="11" t="s">
        <v>119</v>
      </c>
      <c r="Q52" s="11" t="s">
        <v>119</v>
      </c>
      <c r="R52" s="11" t="s">
        <v>119</v>
      </c>
      <c r="S52" s="11" t="s">
        <v>119</v>
      </c>
      <c r="T52" s="10" t="s">
        <v>118</v>
      </c>
      <c r="U52" s="11" t="s">
        <v>119</v>
      </c>
      <c r="V52" s="10" t="s">
        <v>118</v>
      </c>
      <c r="W52" s="11" t="s">
        <v>119</v>
      </c>
      <c r="X52" s="11" t="s">
        <v>119</v>
      </c>
      <c r="Y52" s="10" t="s">
        <v>118</v>
      </c>
    </row>
    <row r="53" spans="1:25" ht="30.75">
      <c r="A53" s="6" t="s">
        <v>115</v>
      </c>
      <c r="B53" s="6">
        <v>50</v>
      </c>
      <c r="C53" s="7" t="s">
        <v>176</v>
      </c>
      <c r="D53" s="7" t="s">
        <v>177</v>
      </c>
      <c r="E53" s="10" t="s">
        <v>118</v>
      </c>
      <c r="F53" s="11" t="s">
        <v>119</v>
      </c>
      <c r="G53" s="11" t="s">
        <v>119</v>
      </c>
      <c r="H53" s="11" t="s">
        <v>119</v>
      </c>
      <c r="I53" s="9" t="s">
        <v>120</v>
      </c>
      <c r="J53" s="10" t="s">
        <v>118</v>
      </c>
      <c r="K53" s="10" t="s">
        <v>118</v>
      </c>
      <c r="L53" s="9" t="s">
        <v>120</v>
      </c>
      <c r="M53" s="9" t="s">
        <v>120</v>
      </c>
      <c r="N53" s="11" t="s">
        <v>119</v>
      </c>
      <c r="O53" s="9" t="s">
        <v>120</v>
      </c>
      <c r="P53" s="9" t="s">
        <v>120</v>
      </c>
      <c r="Q53" s="9" t="s">
        <v>120</v>
      </c>
      <c r="R53" s="11" t="s">
        <v>119</v>
      </c>
      <c r="S53" s="11" t="s">
        <v>119</v>
      </c>
      <c r="T53" s="10" t="s">
        <v>118</v>
      </c>
      <c r="U53" s="11" t="s">
        <v>119</v>
      </c>
      <c r="V53" s="11" t="s">
        <v>119</v>
      </c>
      <c r="W53" s="9" t="s">
        <v>120</v>
      </c>
      <c r="X53" s="9" t="s">
        <v>120</v>
      </c>
      <c r="Y53" s="31" t="s">
        <v>121</v>
      </c>
    </row>
    <row r="54" spans="1:25" ht="15">
      <c r="A54" s="6" t="s">
        <v>115</v>
      </c>
      <c r="B54" s="6">
        <v>51</v>
      </c>
      <c r="C54" s="7" t="s">
        <v>176</v>
      </c>
      <c r="D54" s="7" t="s">
        <v>178</v>
      </c>
      <c r="E54" s="10" t="s">
        <v>118</v>
      </c>
      <c r="F54" s="11" t="s">
        <v>119</v>
      </c>
      <c r="G54" s="11" t="s">
        <v>119</v>
      </c>
      <c r="H54" s="11" t="s">
        <v>119</v>
      </c>
      <c r="I54" s="11" t="s">
        <v>119</v>
      </c>
      <c r="J54" s="10" t="s">
        <v>118</v>
      </c>
      <c r="K54" s="10" t="s">
        <v>118</v>
      </c>
      <c r="L54" s="11" t="s">
        <v>119</v>
      </c>
      <c r="M54" s="9" t="s">
        <v>120</v>
      </c>
      <c r="N54" s="11" t="s">
        <v>119</v>
      </c>
      <c r="O54" s="11" t="s">
        <v>119</v>
      </c>
      <c r="P54" s="9" t="s">
        <v>120</v>
      </c>
      <c r="Q54" s="11" t="s">
        <v>119</v>
      </c>
      <c r="R54" s="11" t="s">
        <v>119</v>
      </c>
      <c r="S54" s="11" t="s">
        <v>119</v>
      </c>
      <c r="T54" s="10" t="s">
        <v>118</v>
      </c>
      <c r="U54" s="11" t="s">
        <v>119</v>
      </c>
      <c r="V54" s="11" t="s">
        <v>119</v>
      </c>
      <c r="W54" s="11" t="s">
        <v>119</v>
      </c>
      <c r="X54" s="11" t="s">
        <v>119</v>
      </c>
      <c r="Y54" s="31" t="s">
        <v>121</v>
      </c>
    </row>
    <row r="55" spans="1:25" ht="15">
      <c r="A55" s="6" t="s">
        <v>115</v>
      </c>
      <c r="B55" s="6">
        <v>52</v>
      </c>
      <c r="C55" s="7" t="s">
        <v>179</v>
      </c>
      <c r="D55" s="7" t="s">
        <v>180</v>
      </c>
      <c r="E55" s="10" t="s">
        <v>118</v>
      </c>
      <c r="F55" s="11" t="s">
        <v>119</v>
      </c>
      <c r="G55" s="10" t="s">
        <v>118</v>
      </c>
      <c r="H55" s="11" t="s">
        <v>119</v>
      </c>
      <c r="I55" s="11" t="s">
        <v>119</v>
      </c>
      <c r="J55" s="10" t="s">
        <v>118</v>
      </c>
      <c r="K55" s="10" t="s">
        <v>118</v>
      </c>
      <c r="L55" s="9" t="s">
        <v>120</v>
      </c>
      <c r="M55" s="10" t="s">
        <v>118</v>
      </c>
      <c r="N55" s="11" t="s">
        <v>119</v>
      </c>
      <c r="O55" s="11" t="s">
        <v>119</v>
      </c>
      <c r="P55" s="11" t="s">
        <v>119</v>
      </c>
      <c r="Q55" s="11" t="s">
        <v>119</v>
      </c>
      <c r="R55" s="11" t="s">
        <v>119</v>
      </c>
      <c r="S55" s="11" t="s">
        <v>119</v>
      </c>
      <c r="T55" s="10" t="s">
        <v>118</v>
      </c>
      <c r="U55" s="11" t="s">
        <v>119</v>
      </c>
      <c r="V55" s="10" t="s">
        <v>118</v>
      </c>
      <c r="W55" s="11" t="s">
        <v>119</v>
      </c>
      <c r="X55" s="11" t="s">
        <v>119</v>
      </c>
      <c r="Y55" s="31" t="s">
        <v>121</v>
      </c>
    </row>
    <row r="56" spans="1:25" ht="15">
      <c r="A56" s="6" t="s">
        <v>115</v>
      </c>
      <c r="B56" s="6">
        <v>53</v>
      </c>
      <c r="C56" s="7" t="s">
        <v>181</v>
      </c>
      <c r="D56" s="7" t="s">
        <v>182</v>
      </c>
      <c r="E56" s="10" t="s">
        <v>118</v>
      </c>
      <c r="F56" s="11" t="s">
        <v>119</v>
      </c>
      <c r="G56" s="10" t="s">
        <v>118</v>
      </c>
      <c r="H56" s="11" t="s">
        <v>119</v>
      </c>
      <c r="I56" s="11" t="s">
        <v>119</v>
      </c>
      <c r="J56" s="10" t="s">
        <v>118</v>
      </c>
      <c r="K56" s="10" t="s">
        <v>118</v>
      </c>
      <c r="L56" s="9" t="s">
        <v>120</v>
      </c>
      <c r="M56" s="10" t="s">
        <v>118</v>
      </c>
      <c r="N56" s="11" t="s">
        <v>119</v>
      </c>
      <c r="O56" s="11" t="s">
        <v>119</v>
      </c>
      <c r="P56" s="9" t="s">
        <v>120</v>
      </c>
      <c r="Q56" s="11" t="s">
        <v>119</v>
      </c>
      <c r="R56" s="11" t="s">
        <v>119</v>
      </c>
      <c r="S56" s="11" t="s">
        <v>119</v>
      </c>
      <c r="T56" s="10" t="s">
        <v>118</v>
      </c>
      <c r="U56" s="11" t="s">
        <v>119</v>
      </c>
      <c r="V56" s="10" t="s">
        <v>118</v>
      </c>
      <c r="W56" s="11" t="s">
        <v>119</v>
      </c>
      <c r="X56" s="11" t="s">
        <v>119</v>
      </c>
      <c r="Y56" s="31" t="s">
        <v>121</v>
      </c>
    </row>
    <row r="57" spans="1:25" ht="15">
      <c r="A57" s="6" t="s">
        <v>115</v>
      </c>
      <c r="B57" s="6">
        <v>54</v>
      </c>
      <c r="C57" s="7" t="s">
        <v>181</v>
      </c>
      <c r="D57" s="7" t="s">
        <v>183</v>
      </c>
      <c r="E57" s="10" t="s">
        <v>118</v>
      </c>
      <c r="F57" s="11" t="s">
        <v>119</v>
      </c>
      <c r="G57" s="10" t="s">
        <v>118</v>
      </c>
      <c r="H57" s="11" t="s">
        <v>119</v>
      </c>
      <c r="I57" s="11" t="s">
        <v>119</v>
      </c>
      <c r="J57" s="10" t="s">
        <v>118</v>
      </c>
      <c r="K57" s="10" t="s">
        <v>118</v>
      </c>
      <c r="L57" s="9" t="s">
        <v>120</v>
      </c>
      <c r="M57" s="10" t="s">
        <v>118</v>
      </c>
      <c r="N57" s="11" t="s">
        <v>119</v>
      </c>
      <c r="O57" s="11" t="s">
        <v>119</v>
      </c>
      <c r="P57" s="9" t="s">
        <v>120</v>
      </c>
      <c r="Q57" s="11" t="s">
        <v>119</v>
      </c>
      <c r="R57" s="11" t="s">
        <v>119</v>
      </c>
      <c r="S57" s="11" t="s">
        <v>119</v>
      </c>
      <c r="T57" s="10" t="s">
        <v>118</v>
      </c>
      <c r="U57" s="11" t="s">
        <v>119</v>
      </c>
      <c r="V57" s="10" t="s">
        <v>118</v>
      </c>
      <c r="W57" s="11" t="s">
        <v>119</v>
      </c>
      <c r="X57" s="11" t="s">
        <v>119</v>
      </c>
      <c r="Y57" s="31" t="s">
        <v>121</v>
      </c>
    </row>
    <row r="58" spans="1:25" ht="15">
      <c r="A58" s="6" t="s">
        <v>115</v>
      </c>
      <c r="B58" s="6">
        <v>55</v>
      </c>
      <c r="C58" s="7" t="s">
        <v>181</v>
      </c>
      <c r="D58" s="7" t="s">
        <v>184</v>
      </c>
      <c r="E58" s="10" t="s">
        <v>118</v>
      </c>
      <c r="F58" s="11" t="s">
        <v>119</v>
      </c>
      <c r="G58" s="10" t="s">
        <v>118</v>
      </c>
      <c r="H58" s="11" t="s">
        <v>119</v>
      </c>
      <c r="I58" s="11" t="s">
        <v>119</v>
      </c>
      <c r="J58" s="10" t="s">
        <v>118</v>
      </c>
      <c r="K58" s="10" t="s">
        <v>118</v>
      </c>
      <c r="L58" s="9" t="s">
        <v>120</v>
      </c>
      <c r="M58" s="10" t="s">
        <v>118</v>
      </c>
      <c r="N58" s="11" t="s">
        <v>119</v>
      </c>
      <c r="O58" s="11" t="s">
        <v>119</v>
      </c>
      <c r="P58" s="9" t="s">
        <v>120</v>
      </c>
      <c r="Q58" s="11" t="s">
        <v>119</v>
      </c>
      <c r="R58" s="11" t="s">
        <v>119</v>
      </c>
      <c r="S58" s="11" t="s">
        <v>119</v>
      </c>
      <c r="T58" s="10" t="s">
        <v>118</v>
      </c>
      <c r="U58" s="11" t="s">
        <v>119</v>
      </c>
      <c r="V58" s="10" t="s">
        <v>118</v>
      </c>
      <c r="W58" s="11" t="s">
        <v>119</v>
      </c>
      <c r="X58" s="11" t="s">
        <v>119</v>
      </c>
      <c r="Y58" s="31" t="s">
        <v>121</v>
      </c>
    </row>
    <row r="59" spans="1:25" ht="30.75">
      <c r="A59" s="6" t="s">
        <v>115</v>
      </c>
      <c r="B59" s="6">
        <v>56</v>
      </c>
      <c r="C59" s="7" t="s">
        <v>185</v>
      </c>
      <c r="D59" s="7" t="s">
        <v>186</v>
      </c>
      <c r="E59" s="10" t="s">
        <v>118</v>
      </c>
      <c r="F59" s="11" t="s">
        <v>119</v>
      </c>
      <c r="G59" s="10" t="s">
        <v>118</v>
      </c>
      <c r="H59" s="11" t="s">
        <v>119</v>
      </c>
      <c r="I59" s="9" t="s">
        <v>120</v>
      </c>
      <c r="J59" s="10" t="s">
        <v>118</v>
      </c>
      <c r="K59" s="10" t="s">
        <v>118</v>
      </c>
      <c r="L59" s="9" t="s">
        <v>120</v>
      </c>
      <c r="M59" s="10" t="s">
        <v>118</v>
      </c>
      <c r="N59" s="11" t="s">
        <v>119</v>
      </c>
      <c r="O59" s="11" t="s">
        <v>119</v>
      </c>
      <c r="P59" s="11" t="s">
        <v>119</v>
      </c>
      <c r="Q59" s="11" t="s">
        <v>119</v>
      </c>
      <c r="R59" s="11" t="s">
        <v>119</v>
      </c>
      <c r="S59" s="11" t="s">
        <v>119</v>
      </c>
      <c r="T59" s="10" t="s">
        <v>118</v>
      </c>
      <c r="U59" s="11" t="s">
        <v>119</v>
      </c>
      <c r="V59" s="10" t="s">
        <v>118</v>
      </c>
      <c r="W59" s="11" t="s">
        <v>119</v>
      </c>
      <c r="X59" s="11" t="s">
        <v>119</v>
      </c>
      <c r="Y59" s="10" t="s">
        <v>118</v>
      </c>
    </row>
    <row r="60" spans="1:25" ht="15">
      <c r="A60" s="6" t="s">
        <v>115</v>
      </c>
      <c r="B60" s="6">
        <v>57</v>
      </c>
      <c r="C60" s="7" t="s">
        <v>185</v>
      </c>
      <c r="D60" s="7" t="s">
        <v>187</v>
      </c>
      <c r="E60" s="10" t="s">
        <v>118</v>
      </c>
      <c r="F60" s="11" t="s">
        <v>119</v>
      </c>
      <c r="G60" s="10" t="s">
        <v>118</v>
      </c>
      <c r="H60" s="11" t="s">
        <v>119</v>
      </c>
      <c r="I60" s="11" t="s">
        <v>119</v>
      </c>
      <c r="J60" s="10" t="s">
        <v>118</v>
      </c>
      <c r="K60" s="10" t="s">
        <v>118</v>
      </c>
      <c r="L60" s="9" t="s">
        <v>120</v>
      </c>
      <c r="M60" s="10" t="s">
        <v>118</v>
      </c>
      <c r="N60" s="11" t="s">
        <v>119</v>
      </c>
      <c r="O60" s="11" t="s">
        <v>119</v>
      </c>
      <c r="P60" s="9" t="s">
        <v>120</v>
      </c>
      <c r="Q60" s="11" t="s">
        <v>119</v>
      </c>
      <c r="R60" s="11" t="s">
        <v>119</v>
      </c>
      <c r="S60" s="11" t="s">
        <v>119</v>
      </c>
      <c r="T60" s="10" t="s">
        <v>118</v>
      </c>
      <c r="U60" s="11" t="s">
        <v>119</v>
      </c>
      <c r="V60" s="10" t="s">
        <v>118</v>
      </c>
      <c r="W60" s="11" t="s">
        <v>119</v>
      </c>
      <c r="X60" s="11" t="s">
        <v>119</v>
      </c>
      <c r="Y60" s="10" t="s">
        <v>118</v>
      </c>
    </row>
    <row r="61" spans="1:25" ht="30.75">
      <c r="A61" s="6" t="s">
        <v>115</v>
      </c>
      <c r="B61" s="6">
        <v>58</v>
      </c>
      <c r="C61" s="7" t="s">
        <v>185</v>
      </c>
      <c r="D61" s="7" t="s">
        <v>188</v>
      </c>
      <c r="E61" s="10" t="s">
        <v>118</v>
      </c>
      <c r="F61" s="11" t="s">
        <v>119</v>
      </c>
      <c r="G61" s="10" t="s">
        <v>118</v>
      </c>
      <c r="H61" s="11" t="s">
        <v>119</v>
      </c>
      <c r="I61" s="9" t="s">
        <v>120</v>
      </c>
      <c r="J61" s="10" t="s">
        <v>118</v>
      </c>
      <c r="K61" s="10" t="s">
        <v>118</v>
      </c>
      <c r="L61" s="9" t="s">
        <v>120</v>
      </c>
      <c r="M61" s="10" t="s">
        <v>118</v>
      </c>
      <c r="N61" s="11" t="s">
        <v>119</v>
      </c>
      <c r="O61" s="11" t="s">
        <v>119</v>
      </c>
      <c r="P61" s="9" t="s">
        <v>120</v>
      </c>
      <c r="Q61" s="11" t="s">
        <v>119</v>
      </c>
      <c r="R61" s="11" t="s">
        <v>119</v>
      </c>
      <c r="S61" s="11" t="s">
        <v>119</v>
      </c>
      <c r="T61" s="10" t="s">
        <v>118</v>
      </c>
      <c r="U61" s="11" t="s">
        <v>119</v>
      </c>
      <c r="V61" s="10" t="s">
        <v>118</v>
      </c>
      <c r="W61" s="11" t="s">
        <v>119</v>
      </c>
      <c r="X61" s="11" t="s">
        <v>119</v>
      </c>
      <c r="Y61" s="10" t="s">
        <v>118</v>
      </c>
    </row>
    <row r="62" spans="1:25" ht="30.75">
      <c r="A62" s="6" t="s">
        <v>115</v>
      </c>
      <c r="B62" s="6">
        <v>59</v>
      </c>
      <c r="C62" s="7" t="s">
        <v>185</v>
      </c>
      <c r="D62" s="7" t="s">
        <v>189</v>
      </c>
      <c r="E62" s="10" t="s">
        <v>118</v>
      </c>
      <c r="F62" s="11" t="s">
        <v>119</v>
      </c>
      <c r="G62" s="10" t="s">
        <v>118</v>
      </c>
      <c r="H62" s="11" t="s">
        <v>119</v>
      </c>
      <c r="I62" s="9" t="s">
        <v>120</v>
      </c>
      <c r="J62" s="10" t="s">
        <v>118</v>
      </c>
      <c r="K62" s="10" t="s">
        <v>118</v>
      </c>
      <c r="L62" s="9" t="s">
        <v>120</v>
      </c>
      <c r="M62" s="10" t="s">
        <v>118</v>
      </c>
      <c r="N62" s="11" t="s">
        <v>119</v>
      </c>
      <c r="O62" s="11" t="s">
        <v>119</v>
      </c>
      <c r="P62" s="9" t="s">
        <v>120</v>
      </c>
      <c r="Q62" s="11" t="s">
        <v>119</v>
      </c>
      <c r="R62" s="11" t="s">
        <v>119</v>
      </c>
      <c r="S62" s="11" t="s">
        <v>119</v>
      </c>
      <c r="T62" s="10" t="s">
        <v>118</v>
      </c>
      <c r="U62" s="11" t="s">
        <v>119</v>
      </c>
      <c r="V62" s="10" t="s">
        <v>118</v>
      </c>
      <c r="W62" s="11" t="s">
        <v>119</v>
      </c>
      <c r="X62" s="11" t="s">
        <v>119</v>
      </c>
      <c r="Y62" s="10" t="s">
        <v>118</v>
      </c>
    </row>
    <row r="63" spans="1:25" ht="15">
      <c r="A63" s="6" t="s">
        <v>115</v>
      </c>
      <c r="B63" s="6">
        <v>60</v>
      </c>
      <c r="C63" s="7" t="s">
        <v>190</v>
      </c>
      <c r="D63" s="7" t="s">
        <v>191</v>
      </c>
      <c r="E63" s="10" t="s">
        <v>118</v>
      </c>
      <c r="F63" s="11" t="s">
        <v>119</v>
      </c>
      <c r="G63" s="10" t="s">
        <v>118</v>
      </c>
      <c r="H63" s="11" t="s">
        <v>119</v>
      </c>
      <c r="I63" s="11" t="s">
        <v>119</v>
      </c>
      <c r="J63" s="10" t="s">
        <v>118</v>
      </c>
      <c r="K63" s="10" t="s">
        <v>118</v>
      </c>
      <c r="L63" s="9" t="s">
        <v>120</v>
      </c>
      <c r="M63" s="10" t="s">
        <v>118</v>
      </c>
      <c r="N63" s="11" t="s">
        <v>119</v>
      </c>
      <c r="O63" s="11" t="s">
        <v>119</v>
      </c>
      <c r="P63" s="9" t="s">
        <v>120</v>
      </c>
      <c r="Q63" s="11" t="s">
        <v>119</v>
      </c>
      <c r="R63" s="11" t="s">
        <v>119</v>
      </c>
      <c r="S63" s="11" t="s">
        <v>119</v>
      </c>
      <c r="T63" s="10" t="s">
        <v>118</v>
      </c>
      <c r="U63" s="11" t="s">
        <v>119</v>
      </c>
      <c r="V63" s="10" t="s">
        <v>118</v>
      </c>
      <c r="W63" s="11" t="s">
        <v>119</v>
      </c>
      <c r="X63" s="11" t="s">
        <v>119</v>
      </c>
      <c r="Y63" s="31" t="s">
        <v>121</v>
      </c>
    </row>
    <row r="64" spans="1:25" ht="15">
      <c r="A64" s="6" t="s">
        <v>115</v>
      </c>
      <c r="B64" s="6">
        <v>61</v>
      </c>
      <c r="C64" s="7" t="s">
        <v>190</v>
      </c>
      <c r="D64" s="7" t="s">
        <v>192</v>
      </c>
      <c r="E64" s="10" t="s">
        <v>118</v>
      </c>
      <c r="F64" s="11" t="s">
        <v>119</v>
      </c>
      <c r="G64" s="11" t="s">
        <v>119</v>
      </c>
      <c r="H64" s="11" t="s">
        <v>119</v>
      </c>
      <c r="I64" s="11" t="s">
        <v>119</v>
      </c>
      <c r="J64" s="10" t="s">
        <v>118</v>
      </c>
      <c r="K64" s="10" t="s">
        <v>118</v>
      </c>
      <c r="L64" s="9" t="s">
        <v>120</v>
      </c>
      <c r="M64" s="10" t="s">
        <v>118</v>
      </c>
      <c r="N64" s="11" t="s">
        <v>119</v>
      </c>
      <c r="O64" s="11" t="s">
        <v>119</v>
      </c>
      <c r="P64" s="9" t="s">
        <v>120</v>
      </c>
      <c r="Q64" s="11" t="s">
        <v>119</v>
      </c>
      <c r="R64" s="11" t="s">
        <v>119</v>
      </c>
      <c r="S64" s="11" t="s">
        <v>119</v>
      </c>
      <c r="T64" s="10" t="s">
        <v>118</v>
      </c>
      <c r="U64" s="11" t="s">
        <v>119</v>
      </c>
      <c r="V64" s="10" t="s">
        <v>118</v>
      </c>
      <c r="W64" s="11" t="s">
        <v>119</v>
      </c>
      <c r="X64" s="11" t="s">
        <v>119</v>
      </c>
      <c r="Y64" s="31" t="s">
        <v>121</v>
      </c>
    </row>
    <row r="65" spans="1:25" ht="15">
      <c r="A65" s="6" t="s">
        <v>115</v>
      </c>
      <c r="B65" s="6">
        <v>62</v>
      </c>
      <c r="C65" s="7" t="s">
        <v>193</v>
      </c>
      <c r="D65" s="7" t="s">
        <v>194</v>
      </c>
      <c r="E65" s="10" t="s">
        <v>118</v>
      </c>
      <c r="F65" s="11" t="s">
        <v>119</v>
      </c>
      <c r="G65" s="11" t="s">
        <v>119</v>
      </c>
      <c r="H65" s="11" t="s">
        <v>119</v>
      </c>
      <c r="I65" s="11" t="s">
        <v>119</v>
      </c>
      <c r="J65" s="10" t="s">
        <v>118</v>
      </c>
      <c r="K65" s="10" t="s">
        <v>118</v>
      </c>
      <c r="L65" s="11" t="s">
        <v>119</v>
      </c>
      <c r="M65" s="9" t="s">
        <v>120</v>
      </c>
      <c r="N65" s="11" t="s">
        <v>119</v>
      </c>
      <c r="O65" s="11" t="s">
        <v>119</v>
      </c>
      <c r="P65" s="9" t="s">
        <v>120</v>
      </c>
      <c r="Q65" s="11" t="s">
        <v>119</v>
      </c>
      <c r="R65" s="11" t="s">
        <v>119</v>
      </c>
      <c r="S65" s="11" t="s">
        <v>119</v>
      </c>
      <c r="T65" s="9" t="s">
        <v>120</v>
      </c>
      <c r="U65" s="11" t="s">
        <v>119</v>
      </c>
      <c r="V65" s="9" t="s">
        <v>120</v>
      </c>
      <c r="W65" s="11" t="s">
        <v>119</v>
      </c>
      <c r="X65" s="11" t="s">
        <v>119</v>
      </c>
      <c r="Y65" s="10" t="s">
        <v>118</v>
      </c>
    </row>
    <row r="66" spans="1:25" ht="15">
      <c r="A66" s="6" t="s">
        <v>115</v>
      </c>
      <c r="B66" s="6">
        <v>63</v>
      </c>
      <c r="C66" s="7" t="s">
        <v>193</v>
      </c>
      <c r="D66" s="7" t="s">
        <v>195</v>
      </c>
      <c r="E66" s="10" t="s">
        <v>118</v>
      </c>
      <c r="F66" s="11" t="s">
        <v>119</v>
      </c>
      <c r="G66" s="10" t="s">
        <v>118</v>
      </c>
      <c r="H66" s="11" t="s">
        <v>119</v>
      </c>
      <c r="I66" s="11" t="s">
        <v>119</v>
      </c>
      <c r="J66" s="10" t="s">
        <v>118</v>
      </c>
      <c r="K66" s="10" t="s">
        <v>118</v>
      </c>
      <c r="L66" s="9" t="s">
        <v>120</v>
      </c>
      <c r="M66" s="9" t="s">
        <v>120</v>
      </c>
      <c r="N66" s="11" t="s">
        <v>119</v>
      </c>
      <c r="O66" s="11" t="s">
        <v>119</v>
      </c>
      <c r="P66" s="9" t="s">
        <v>120</v>
      </c>
      <c r="Q66" s="11" t="s">
        <v>119</v>
      </c>
      <c r="R66" s="11" t="s">
        <v>119</v>
      </c>
      <c r="S66" s="11" t="s">
        <v>119</v>
      </c>
      <c r="T66" s="10" t="s">
        <v>118</v>
      </c>
      <c r="U66" s="11" t="s">
        <v>119</v>
      </c>
      <c r="V66" s="10" t="s">
        <v>118</v>
      </c>
      <c r="W66" s="11" t="s">
        <v>119</v>
      </c>
      <c r="X66" s="11" t="s">
        <v>119</v>
      </c>
      <c r="Y66" s="11" t="s">
        <v>119</v>
      </c>
    </row>
    <row r="67" spans="1:25" ht="15">
      <c r="A67" s="6" t="s">
        <v>115</v>
      </c>
      <c r="B67" s="6">
        <v>64</v>
      </c>
      <c r="C67" s="7" t="s">
        <v>193</v>
      </c>
      <c r="D67" s="7" t="s">
        <v>196</v>
      </c>
      <c r="E67" s="10" t="s">
        <v>118</v>
      </c>
      <c r="F67" s="11" t="s">
        <v>119</v>
      </c>
      <c r="G67" s="11" t="s">
        <v>119</v>
      </c>
      <c r="H67" s="11" t="s">
        <v>119</v>
      </c>
      <c r="I67" s="11" t="s">
        <v>119</v>
      </c>
      <c r="J67" s="10" t="s">
        <v>118</v>
      </c>
      <c r="K67" s="9" t="s">
        <v>120</v>
      </c>
      <c r="L67" s="11" t="s">
        <v>119</v>
      </c>
      <c r="M67" s="9" t="s">
        <v>120</v>
      </c>
      <c r="N67" s="11" t="s">
        <v>119</v>
      </c>
      <c r="O67" s="11" t="s">
        <v>119</v>
      </c>
      <c r="P67" s="9" t="s">
        <v>120</v>
      </c>
      <c r="Q67" s="11" t="s">
        <v>119</v>
      </c>
      <c r="R67" s="11" t="s">
        <v>119</v>
      </c>
      <c r="S67" s="11" t="s">
        <v>119</v>
      </c>
      <c r="T67" s="10" t="s">
        <v>118</v>
      </c>
      <c r="U67" s="11" t="s">
        <v>119</v>
      </c>
      <c r="V67" s="10" t="s">
        <v>118</v>
      </c>
      <c r="W67" s="11" t="s">
        <v>119</v>
      </c>
      <c r="X67" s="11" t="s">
        <v>119</v>
      </c>
      <c r="Y67" s="10" t="s">
        <v>118</v>
      </c>
    </row>
    <row r="68" spans="1:25" ht="15">
      <c r="A68" s="6" t="s">
        <v>115</v>
      </c>
      <c r="B68" s="6">
        <v>65</v>
      </c>
      <c r="C68" s="7" t="s">
        <v>193</v>
      </c>
      <c r="D68" s="7" t="s">
        <v>197</v>
      </c>
      <c r="E68" s="10" t="s">
        <v>118</v>
      </c>
      <c r="F68" s="11" t="s">
        <v>119</v>
      </c>
      <c r="G68" s="10" t="s">
        <v>118</v>
      </c>
      <c r="H68" s="11" t="s">
        <v>119</v>
      </c>
      <c r="I68" s="11" t="s">
        <v>119</v>
      </c>
      <c r="J68" s="10" t="s">
        <v>118</v>
      </c>
      <c r="K68" s="10" t="s">
        <v>118</v>
      </c>
      <c r="L68" s="9" t="s">
        <v>120</v>
      </c>
      <c r="M68" s="9" t="s">
        <v>120</v>
      </c>
      <c r="N68" s="11" t="s">
        <v>119</v>
      </c>
      <c r="O68" s="11" t="s">
        <v>119</v>
      </c>
      <c r="P68" s="9" t="s">
        <v>120</v>
      </c>
      <c r="Q68" s="11" t="s">
        <v>119</v>
      </c>
      <c r="R68" s="11" t="s">
        <v>119</v>
      </c>
      <c r="S68" s="11" t="s">
        <v>119</v>
      </c>
      <c r="T68" s="10" t="s">
        <v>118</v>
      </c>
      <c r="U68" s="11" t="s">
        <v>119</v>
      </c>
      <c r="V68" s="10" t="s">
        <v>118</v>
      </c>
      <c r="W68" s="11" t="s">
        <v>119</v>
      </c>
      <c r="X68" s="9" t="s">
        <v>120</v>
      </c>
      <c r="Y68" s="10" t="s">
        <v>118</v>
      </c>
    </row>
    <row r="69" spans="1:25" ht="15">
      <c r="A69" s="6" t="s">
        <v>115</v>
      </c>
      <c r="B69" s="6">
        <v>66</v>
      </c>
      <c r="C69" s="7" t="s">
        <v>193</v>
      </c>
      <c r="D69" s="7" t="s">
        <v>198</v>
      </c>
      <c r="E69" s="10" t="s">
        <v>118</v>
      </c>
      <c r="F69" s="11" t="s">
        <v>119</v>
      </c>
      <c r="G69" s="10" t="s">
        <v>118</v>
      </c>
      <c r="H69" s="11" t="s">
        <v>119</v>
      </c>
      <c r="I69" s="11" t="s">
        <v>119</v>
      </c>
      <c r="J69" s="10" t="s">
        <v>118</v>
      </c>
      <c r="K69" s="9" t="s">
        <v>120</v>
      </c>
      <c r="L69" s="11" t="s">
        <v>119</v>
      </c>
      <c r="M69" s="9" t="s">
        <v>120</v>
      </c>
      <c r="N69" s="11" t="s">
        <v>119</v>
      </c>
      <c r="O69" s="11" t="s">
        <v>119</v>
      </c>
      <c r="P69" s="9" t="s">
        <v>120</v>
      </c>
      <c r="Q69" s="11" t="s">
        <v>119</v>
      </c>
      <c r="R69" s="11" t="s">
        <v>119</v>
      </c>
      <c r="S69" s="11" t="s">
        <v>119</v>
      </c>
      <c r="T69" s="10" t="s">
        <v>118</v>
      </c>
      <c r="U69" s="11" t="s">
        <v>119</v>
      </c>
      <c r="V69" s="10" t="s">
        <v>118</v>
      </c>
      <c r="W69" s="11" t="s">
        <v>119</v>
      </c>
      <c r="X69" s="11" t="s">
        <v>119</v>
      </c>
      <c r="Y69" s="31" t="s">
        <v>121</v>
      </c>
    </row>
    <row r="70" spans="1:25" ht="15">
      <c r="A70" s="6" t="s">
        <v>115</v>
      </c>
      <c r="B70" s="6">
        <v>67</v>
      </c>
      <c r="C70" s="7" t="s">
        <v>193</v>
      </c>
      <c r="D70" s="7" t="s">
        <v>199</v>
      </c>
      <c r="E70" s="10" t="s">
        <v>118</v>
      </c>
      <c r="F70" s="11" t="s">
        <v>119</v>
      </c>
      <c r="G70" s="10" t="s">
        <v>118</v>
      </c>
      <c r="H70" s="11" t="s">
        <v>119</v>
      </c>
      <c r="I70" s="11" t="s">
        <v>119</v>
      </c>
      <c r="J70" s="10" t="s">
        <v>118</v>
      </c>
      <c r="K70" s="9" t="s">
        <v>120</v>
      </c>
      <c r="L70" s="11" t="s">
        <v>119</v>
      </c>
      <c r="M70" s="9" t="s">
        <v>120</v>
      </c>
      <c r="N70" s="11" t="s">
        <v>119</v>
      </c>
      <c r="O70" s="11" t="s">
        <v>119</v>
      </c>
      <c r="P70" s="9" t="s">
        <v>120</v>
      </c>
      <c r="Q70" s="11" t="s">
        <v>119</v>
      </c>
      <c r="R70" s="11" t="s">
        <v>119</v>
      </c>
      <c r="S70" s="11" t="s">
        <v>119</v>
      </c>
      <c r="T70" s="10" t="s">
        <v>118</v>
      </c>
      <c r="U70" s="11" t="s">
        <v>119</v>
      </c>
      <c r="V70" s="9" t="s">
        <v>120</v>
      </c>
      <c r="W70" s="11" t="s">
        <v>119</v>
      </c>
      <c r="X70" s="11" t="s">
        <v>119</v>
      </c>
      <c r="Y70" s="10" t="s">
        <v>118</v>
      </c>
    </row>
    <row r="71" spans="1:25" ht="15">
      <c r="A71" s="6" t="s">
        <v>115</v>
      </c>
      <c r="B71" s="6">
        <v>68</v>
      </c>
      <c r="C71" s="7" t="s">
        <v>193</v>
      </c>
      <c r="D71" s="7" t="s">
        <v>200</v>
      </c>
      <c r="E71" s="10" t="s">
        <v>118</v>
      </c>
      <c r="F71" s="11" t="s">
        <v>119</v>
      </c>
      <c r="G71" s="10" t="s">
        <v>118</v>
      </c>
      <c r="H71" s="11" t="s">
        <v>119</v>
      </c>
      <c r="I71" s="11" t="s">
        <v>119</v>
      </c>
      <c r="J71" s="10" t="s">
        <v>118</v>
      </c>
      <c r="K71" s="9" t="s">
        <v>120</v>
      </c>
      <c r="L71" s="11" t="s">
        <v>119</v>
      </c>
      <c r="M71" s="9" t="s">
        <v>120</v>
      </c>
      <c r="N71" s="11" t="s">
        <v>119</v>
      </c>
      <c r="O71" s="11" t="s">
        <v>119</v>
      </c>
      <c r="P71" s="11" t="s">
        <v>119</v>
      </c>
      <c r="Q71" s="11" t="s">
        <v>119</v>
      </c>
      <c r="R71" s="11" t="s">
        <v>119</v>
      </c>
      <c r="S71" s="11" t="s">
        <v>119</v>
      </c>
      <c r="T71" s="10" t="s">
        <v>118</v>
      </c>
      <c r="U71" s="11" t="s">
        <v>119</v>
      </c>
      <c r="V71" s="9" t="s">
        <v>120</v>
      </c>
      <c r="W71" s="11" t="s">
        <v>119</v>
      </c>
      <c r="X71" s="11" t="s">
        <v>119</v>
      </c>
      <c r="Y71" s="10" t="s">
        <v>118</v>
      </c>
    </row>
    <row r="72" spans="1:25" ht="15">
      <c r="A72" s="6" t="s">
        <v>115</v>
      </c>
      <c r="B72" s="6">
        <v>69</v>
      </c>
      <c r="C72" s="7" t="s">
        <v>193</v>
      </c>
      <c r="D72" s="7" t="s">
        <v>201</v>
      </c>
      <c r="E72" s="10" t="s">
        <v>118</v>
      </c>
      <c r="F72" s="11" t="s">
        <v>119</v>
      </c>
      <c r="G72" s="10" t="s">
        <v>118</v>
      </c>
      <c r="H72" s="11" t="s">
        <v>119</v>
      </c>
      <c r="I72" s="11" t="s">
        <v>119</v>
      </c>
      <c r="J72" s="10" t="s">
        <v>118</v>
      </c>
      <c r="K72" s="10" t="s">
        <v>118</v>
      </c>
      <c r="L72" s="11" t="s">
        <v>119</v>
      </c>
      <c r="M72" s="9" t="s">
        <v>120</v>
      </c>
      <c r="N72" s="11" t="s">
        <v>119</v>
      </c>
      <c r="O72" s="11" t="s">
        <v>119</v>
      </c>
      <c r="P72" s="9" t="s">
        <v>120</v>
      </c>
      <c r="Q72" s="11" t="s">
        <v>119</v>
      </c>
      <c r="R72" s="11" t="s">
        <v>119</v>
      </c>
      <c r="S72" s="11" t="s">
        <v>119</v>
      </c>
      <c r="T72" s="10" t="s">
        <v>118</v>
      </c>
      <c r="U72" s="11" t="s">
        <v>119</v>
      </c>
      <c r="V72" s="10" t="s">
        <v>118</v>
      </c>
      <c r="W72" s="11" t="s">
        <v>119</v>
      </c>
      <c r="X72" s="9" t="s">
        <v>120</v>
      </c>
      <c r="Y72" s="10" t="s">
        <v>118</v>
      </c>
    </row>
    <row r="73" spans="1:25" ht="15">
      <c r="A73" s="6" t="s">
        <v>115</v>
      </c>
      <c r="B73" s="6">
        <v>70</v>
      </c>
      <c r="C73" s="7" t="s">
        <v>193</v>
      </c>
      <c r="D73" s="7" t="s">
        <v>202</v>
      </c>
      <c r="E73" s="10" t="s">
        <v>118</v>
      </c>
      <c r="F73" s="11" t="s">
        <v>119</v>
      </c>
      <c r="G73" s="11" t="s">
        <v>119</v>
      </c>
      <c r="H73" s="11" t="s">
        <v>119</v>
      </c>
      <c r="I73" s="11" t="s">
        <v>119</v>
      </c>
      <c r="J73" s="10" t="s">
        <v>118</v>
      </c>
      <c r="K73" s="10" t="s">
        <v>118</v>
      </c>
      <c r="L73" s="11" t="s">
        <v>119</v>
      </c>
      <c r="M73" s="9" t="s">
        <v>120</v>
      </c>
      <c r="N73" s="11" t="s">
        <v>119</v>
      </c>
      <c r="O73" s="11" t="s">
        <v>119</v>
      </c>
      <c r="P73" s="11" t="s">
        <v>119</v>
      </c>
      <c r="Q73" s="11" t="s">
        <v>119</v>
      </c>
      <c r="R73" s="11" t="s">
        <v>119</v>
      </c>
      <c r="S73" s="11" t="s">
        <v>119</v>
      </c>
      <c r="T73" s="10" t="s">
        <v>118</v>
      </c>
      <c r="U73" s="11" t="s">
        <v>119</v>
      </c>
      <c r="V73" s="9" t="s">
        <v>120</v>
      </c>
      <c r="W73" s="11" t="s">
        <v>119</v>
      </c>
      <c r="X73" s="11" t="s">
        <v>119</v>
      </c>
      <c r="Y73" s="10" t="s">
        <v>118</v>
      </c>
    </row>
    <row r="74" spans="1:25" ht="15">
      <c r="A74" s="6" t="s">
        <v>115</v>
      </c>
      <c r="B74" s="6">
        <v>71</v>
      </c>
      <c r="C74" s="7" t="s">
        <v>203</v>
      </c>
      <c r="D74" s="7" t="s">
        <v>204</v>
      </c>
      <c r="E74" s="10" t="s">
        <v>118</v>
      </c>
      <c r="F74" s="11" t="s">
        <v>119</v>
      </c>
      <c r="G74" s="10" t="s">
        <v>118</v>
      </c>
      <c r="H74" s="9" t="s">
        <v>120</v>
      </c>
      <c r="I74" s="11" t="s">
        <v>119</v>
      </c>
      <c r="J74" s="10" t="s">
        <v>118</v>
      </c>
      <c r="K74" s="10" t="s">
        <v>118</v>
      </c>
      <c r="L74" s="9" t="s">
        <v>120</v>
      </c>
      <c r="M74" s="10" t="s">
        <v>118</v>
      </c>
      <c r="N74" s="11" t="s">
        <v>119</v>
      </c>
      <c r="O74" s="11" t="s">
        <v>119</v>
      </c>
      <c r="P74" s="9" t="s">
        <v>120</v>
      </c>
      <c r="Q74" s="11" t="s">
        <v>119</v>
      </c>
      <c r="R74" s="11" t="s">
        <v>119</v>
      </c>
      <c r="S74" s="11" t="s">
        <v>119</v>
      </c>
      <c r="T74" s="10" t="s">
        <v>118</v>
      </c>
      <c r="U74" s="11" t="s">
        <v>119</v>
      </c>
      <c r="V74" s="9" t="s">
        <v>120</v>
      </c>
      <c r="W74" s="11" t="s">
        <v>119</v>
      </c>
      <c r="X74" s="11" t="s">
        <v>119</v>
      </c>
      <c r="Y74" s="31" t="s">
        <v>121</v>
      </c>
    </row>
    <row r="75" spans="1:25" ht="15">
      <c r="A75" s="6" t="s">
        <v>115</v>
      </c>
      <c r="B75" s="6">
        <v>72</v>
      </c>
      <c r="C75" s="7" t="s">
        <v>203</v>
      </c>
      <c r="D75" s="7" t="s">
        <v>205</v>
      </c>
      <c r="E75" s="10" t="s">
        <v>118</v>
      </c>
      <c r="F75" s="11" t="s">
        <v>119</v>
      </c>
      <c r="G75" s="10" t="s">
        <v>118</v>
      </c>
      <c r="H75" s="11" t="s">
        <v>119</v>
      </c>
      <c r="I75" s="11" t="s">
        <v>119</v>
      </c>
      <c r="J75" s="10" t="s">
        <v>118</v>
      </c>
      <c r="K75" s="10" t="s">
        <v>118</v>
      </c>
      <c r="L75" s="9" t="s">
        <v>120</v>
      </c>
      <c r="M75" s="10" t="s">
        <v>118</v>
      </c>
      <c r="N75" s="11" t="s">
        <v>119</v>
      </c>
      <c r="O75" s="11" t="s">
        <v>119</v>
      </c>
      <c r="P75" s="9" t="s">
        <v>120</v>
      </c>
      <c r="Q75" s="11" t="s">
        <v>119</v>
      </c>
      <c r="R75" s="11" t="s">
        <v>119</v>
      </c>
      <c r="S75" s="11" t="s">
        <v>119</v>
      </c>
      <c r="T75" s="10" t="s">
        <v>118</v>
      </c>
      <c r="U75" s="11" t="s">
        <v>119</v>
      </c>
      <c r="V75" s="10" t="s">
        <v>118</v>
      </c>
      <c r="W75" s="11" t="s">
        <v>119</v>
      </c>
      <c r="X75" s="9" t="s">
        <v>120</v>
      </c>
      <c r="Y75" s="31" t="s">
        <v>121</v>
      </c>
    </row>
    <row r="76" spans="1:25" ht="15">
      <c r="A76" s="6" t="s">
        <v>115</v>
      </c>
      <c r="B76" s="6">
        <v>73</v>
      </c>
      <c r="C76" s="7" t="s">
        <v>206</v>
      </c>
      <c r="D76" s="7" t="s">
        <v>207</v>
      </c>
      <c r="E76" s="10" t="s">
        <v>118</v>
      </c>
      <c r="F76" s="11" t="s">
        <v>119</v>
      </c>
      <c r="G76" s="10" t="s">
        <v>118</v>
      </c>
      <c r="H76" s="11" t="s">
        <v>119</v>
      </c>
      <c r="I76" s="11" t="s">
        <v>119</v>
      </c>
      <c r="J76" s="9" t="s">
        <v>120</v>
      </c>
      <c r="K76" s="10" t="s">
        <v>118</v>
      </c>
      <c r="L76" s="11" t="s">
        <v>119</v>
      </c>
      <c r="M76" s="9" t="s">
        <v>120</v>
      </c>
      <c r="N76" s="11" t="s">
        <v>119</v>
      </c>
      <c r="O76" s="11" t="s">
        <v>119</v>
      </c>
      <c r="P76" s="9" t="s">
        <v>120</v>
      </c>
      <c r="Q76" s="11" t="s">
        <v>119</v>
      </c>
      <c r="R76" s="11" t="s">
        <v>119</v>
      </c>
      <c r="S76" s="11" t="s">
        <v>119</v>
      </c>
      <c r="T76" s="11" t="s">
        <v>119</v>
      </c>
      <c r="U76" s="11" t="s">
        <v>119</v>
      </c>
      <c r="V76" s="10" t="s">
        <v>118</v>
      </c>
      <c r="W76" s="11" t="s">
        <v>119</v>
      </c>
      <c r="X76" s="9" t="s">
        <v>120</v>
      </c>
      <c r="Y76" s="10" t="s">
        <v>118</v>
      </c>
    </row>
    <row r="77" spans="1:25" ht="15">
      <c r="A77" s="6" t="s">
        <v>115</v>
      </c>
      <c r="B77" s="6">
        <v>74</v>
      </c>
      <c r="C77" s="7" t="s">
        <v>208</v>
      </c>
      <c r="D77" s="7" t="s">
        <v>209</v>
      </c>
      <c r="E77" s="10" t="s">
        <v>118</v>
      </c>
      <c r="F77" s="11" t="s">
        <v>119</v>
      </c>
      <c r="G77" s="10" t="s">
        <v>118</v>
      </c>
      <c r="H77" s="11" t="s">
        <v>119</v>
      </c>
      <c r="I77" s="11" t="s">
        <v>119</v>
      </c>
      <c r="J77" s="10" t="s">
        <v>118</v>
      </c>
      <c r="K77" s="9" t="s">
        <v>120</v>
      </c>
      <c r="L77" s="9" t="s">
        <v>120</v>
      </c>
      <c r="M77" s="10" t="s">
        <v>118</v>
      </c>
      <c r="N77" s="11" t="s">
        <v>119</v>
      </c>
      <c r="O77" s="11" t="s">
        <v>119</v>
      </c>
      <c r="P77" s="9" t="s">
        <v>120</v>
      </c>
      <c r="Q77" s="11" t="s">
        <v>119</v>
      </c>
      <c r="R77" s="11" t="s">
        <v>119</v>
      </c>
      <c r="S77" s="11" t="s">
        <v>119</v>
      </c>
      <c r="T77" s="10" t="s">
        <v>118</v>
      </c>
      <c r="U77" s="11" t="s">
        <v>119</v>
      </c>
      <c r="V77" s="10" t="s">
        <v>118</v>
      </c>
      <c r="W77" s="11" t="s">
        <v>119</v>
      </c>
      <c r="X77" s="11" t="s">
        <v>119</v>
      </c>
      <c r="Y77" s="31" t="s">
        <v>121</v>
      </c>
    </row>
    <row r="78" spans="1:25" ht="15">
      <c r="A78" s="6" t="s">
        <v>115</v>
      </c>
      <c r="B78" s="6">
        <v>75</v>
      </c>
      <c r="C78" s="7" t="s">
        <v>208</v>
      </c>
      <c r="D78" s="7" t="s">
        <v>210</v>
      </c>
      <c r="E78" s="10" t="s">
        <v>118</v>
      </c>
      <c r="F78" s="11" t="s">
        <v>119</v>
      </c>
      <c r="G78" s="10" t="s">
        <v>118</v>
      </c>
      <c r="H78" s="11" t="s">
        <v>119</v>
      </c>
      <c r="I78" s="11" t="s">
        <v>119</v>
      </c>
      <c r="J78" s="10" t="s">
        <v>118</v>
      </c>
      <c r="K78" s="9" t="s">
        <v>120</v>
      </c>
      <c r="L78" s="9" t="s">
        <v>120</v>
      </c>
      <c r="M78" s="10" t="s">
        <v>118</v>
      </c>
      <c r="N78" s="11" t="s">
        <v>119</v>
      </c>
      <c r="O78" s="11" t="s">
        <v>119</v>
      </c>
      <c r="P78" s="9" t="s">
        <v>120</v>
      </c>
      <c r="Q78" s="11" t="s">
        <v>119</v>
      </c>
      <c r="R78" s="11" t="s">
        <v>119</v>
      </c>
      <c r="S78" s="11" t="s">
        <v>119</v>
      </c>
      <c r="T78" s="10" t="s">
        <v>118</v>
      </c>
      <c r="U78" s="11" t="s">
        <v>119</v>
      </c>
      <c r="V78" s="10" t="s">
        <v>118</v>
      </c>
      <c r="W78" s="11" t="s">
        <v>119</v>
      </c>
      <c r="X78" s="11" t="s">
        <v>119</v>
      </c>
      <c r="Y78" s="10" t="s">
        <v>118</v>
      </c>
    </row>
    <row r="79" spans="1:25" ht="15">
      <c r="A79" s="6" t="s">
        <v>115</v>
      </c>
      <c r="B79" s="6">
        <v>76</v>
      </c>
      <c r="C79" s="7" t="s">
        <v>208</v>
      </c>
      <c r="D79" s="7" t="s">
        <v>211</v>
      </c>
      <c r="E79" s="10" t="s">
        <v>118</v>
      </c>
      <c r="F79" s="11" t="s">
        <v>119</v>
      </c>
      <c r="G79" s="10" t="s">
        <v>118</v>
      </c>
      <c r="H79" s="11" t="s">
        <v>119</v>
      </c>
      <c r="I79" s="11" t="s">
        <v>119</v>
      </c>
      <c r="J79" s="10" t="s">
        <v>118</v>
      </c>
      <c r="K79" s="10" t="s">
        <v>118</v>
      </c>
      <c r="L79" s="9" t="s">
        <v>120</v>
      </c>
      <c r="M79" s="10" t="s">
        <v>118</v>
      </c>
      <c r="N79" s="11" t="s">
        <v>119</v>
      </c>
      <c r="O79" s="11" t="s">
        <v>119</v>
      </c>
      <c r="P79" s="9" t="s">
        <v>120</v>
      </c>
      <c r="Q79" s="11" t="s">
        <v>119</v>
      </c>
      <c r="R79" s="11" t="s">
        <v>119</v>
      </c>
      <c r="S79" s="11" t="s">
        <v>119</v>
      </c>
      <c r="T79" s="10" t="s">
        <v>118</v>
      </c>
      <c r="U79" s="11" t="s">
        <v>119</v>
      </c>
      <c r="V79" s="10" t="s">
        <v>118</v>
      </c>
      <c r="W79" s="11" t="s">
        <v>119</v>
      </c>
      <c r="X79" s="11" t="s">
        <v>119</v>
      </c>
      <c r="Y79" s="10" t="s">
        <v>118</v>
      </c>
    </row>
    <row r="80" spans="1:25" ht="15">
      <c r="A80" s="6" t="s">
        <v>115</v>
      </c>
      <c r="B80" s="6">
        <v>77</v>
      </c>
      <c r="C80" s="7" t="s">
        <v>208</v>
      </c>
      <c r="D80" s="7" t="s">
        <v>212</v>
      </c>
      <c r="E80" s="10" t="s">
        <v>118</v>
      </c>
      <c r="F80" s="11" t="s">
        <v>119</v>
      </c>
      <c r="G80" s="10" t="s">
        <v>118</v>
      </c>
      <c r="H80" s="11" t="s">
        <v>119</v>
      </c>
      <c r="I80" s="11" t="s">
        <v>119</v>
      </c>
      <c r="J80" s="10" t="s">
        <v>118</v>
      </c>
      <c r="K80" s="10" t="s">
        <v>118</v>
      </c>
      <c r="L80" s="9" t="s">
        <v>120</v>
      </c>
      <c r="M80" s="10" t="s">
        <v>118</v>
      </c>
      <c r="N80" s="11" t="s">
        <v>119</v>
      </c>
      <c r="O80" s="11" t="s">
        <v>119</v>
      </c>
      <c r="P80" s="9" t="s">
        <v>120</v>
      </c>
      <c r="Q80" s="11" t="s">
        <v>119</v>
      </c>
      <c r="R80" s="11" t="s">
        <v>119</v>
      </c>
      <c r="S80" s="11" t="s">
        <v>119</v>
      </c>
      <c r="T80" s="10" t="s">
        <v>118</v>
      </c>
      <c r="U80" s="11" t="s">
        <v>119</v>
      </c>
      <c r="V80" s="10" t="s">
        <v>118</v>
      </c>
      <c r="W80" s="11" t="s">
        <v>119</v>
      </c>
      <c r="X80" s="11" t="s">
        <v>119</v>
      </c>
      <c r="Y80" s="10" t="s">
        <v>118</v>
      </c>
    </row>
    <row r="81" spans="1:25" ht="15">
      <c r="A81" s="6" t="s">
        <v>115</v>
      </c>
      <c r="B81" s="6">
        <v>78</v>
      </c>
      <c r="C81" s="7" t="s">
        <v>208</v>
      </c>
      <c r="D81" s="7" t="s">
        <v>213</v>
      </c>
      <c r="E81" s="10" t="s">
        <v>118</v>
      </c>
      <c r="F81" s="11" t="s">
        <v>119</v>
      </c>
      <c r="G81" s="10" t="s">
        <v>118</v>
      </c>
      <c r="H81" s="11" t="s">
        <v>119</v>
      </c>
      <c r="I81" s="11" t="s">
        <v>119</v>
      </c>
      <c r="J81" s="10" t="s">
        <v>118</v>
      </c>
      <c r="K81" s="9" t="s">
        <v>120</v>
      </c>
      <c r="L81" s="9" t="s">
        <v>120</v>
      </c>
      <c r="M81" s="10" t="s">
        <v>118</v>
      </c>
      <c r="N81" s="11" t="s">
        <v>119</v>
      </c>
      <c r="O81" s="11" t="s">
        <v>119</v>
      </c>
      <c r="P81" s="9" t="s">
        <v>120</v>
      </c>
      <c r="Q81" s="11" t="s">
        <v>119</v>
      </c>
      <c r="R81" s="11" t="s">
        <v>119</v>
      </c>
      <c r="S81" s="11" t="s">
        <v>119</v>
      </c>
      <c r="T81" s="10" t="s">
        <v>118</v>
      </c>
      <c r="U81" s="11" t="s">
        <v>119</v>
      </c>
      <c r="V81" s="10" t="s">
        <v>118</v>
      </c>
      <c r="W81" s="11" t="s">
        <v>119</v>
      </c>
      <c r="X81" s="11" t="s">
        <v>119</v>
      </c>
      <c r="Y81" s="10" t="s">
        <v>118</v>
      </c>
    </row>
    <row r="82" spans="1:25" ht="15">
      <c r="A82" s="6" t="s">
        <v>115</v>
      </c>
      <c r="B82" s="6">
        <v>79</v>
      </c>
      <c r="C82" s="7" t="s">
        <v>208</v>
      </c>
      <c r="D82" s="7" t="s">
        <v>214</v>
      </c>
      <c r="E82" s="10" t="s">
        <v>118</v>
      </c>
      <c r="F82" s="11" t="s">
        <v>119</v>
      </c>
      <c r="G82" s="10" t="s">
        <v>118</v>
      </c>
      <c r="H82" s="11" t="s">
        <v>119</v>
      </c>
      <c r="I82" s="11" t="s">
        <v>119</v>
      </c>
      <c r="J82" s="10" t="s">
        <v>118</v>
      </c>
      <c r="K82" s="9" t="s">
        <v>120</v>
      </c>
      <c r="L82" s="9" t="s">
        <v>120</v>
      </c>
      <c r="M82" s="10" t="s">
        <v>118</v>
      </c>
      <c r="N82" s="11" t="s">
        <v>119</v>
      </c>
      <c r="O82" s="11" t="s">
        <v>119</v>
      </c>
      <c r="P82" s="9" t="s">
        <v>120</v>
      </c>
      <c r="Q82" s="11" t="s">
        <v>119</v>
      </c>
      <c r="R82" s="11" t="s">
        <v>119</v>
      </c>
      <c r="S82" s="11" t="s">
        <v>119</v>
      </c>
      <c r="T82" s="10" t="s">
        <v>118</v>
      </c>
      <c r="U82" s="11" t="s">
        <v>119</v>
      </c>
      <c r="V82" s="10" t="s">
        <v>118</v>
      </c>
      <c r="W82" s="11" t="s">
        <v>119</v>
      </c>
      <c r="X82" s="11" t="s">
        <v>119</v>
      </c>
      <c r="Y82" s="10" t="s">
        <v>118</v>
      </c>
    </row>
    <row r="83" spans="1:25" ht="30.75">
      <c r="A83" s="6" t="s">
        <v>115</v>
      </c>
      <c r="B83" s="6">
        <v>80</v>
      </c>
      <c r="C83" s="7" t="s">
        <v>215</v>
      </c>
      <c r="D83" s="7" t="s">
        <v>216</v>
      </c>
      <c r="E83" s="10" t="s">
        <v>118</v>
      </c>
      <c r="F83" s="11" t="s">
        <v>119</v>
      </c>
      <c r="G83" s="10" t="s">
        <v>118</v>
      </c>
      <c r="H83" s="11" t="s">
        <v>119</v>
      </c>
      <c r="I83" s="9" t="s">
        <v>120</v>
      </c>
      <c r="J83" s="10" t="s">
        <v>118</v>
      </c>
      <c r="K83" s="10" t="s">
        <v>118</v>
      </c>
      <c r="L83" s="9" t="s">
        <v>120</v>
      </c>
      <c r="M83" s="10" t="s">
        <v>118</v>
      </c>
      <c r="N83" s="11" t="s">
        <v>119</v>
      </c>
      <c r="O83" s="11" t="s">
        <v>119</v>
      </c>
      <c r="P83" s="11" t="s">
        <v>119</v>
      </c>
      <c r="Q83" s="11" t="s">
        <v>119</v>
      </c>
      <c r="R83" s="11" t="s">
        <v>119</v>
      </c>
      <c r="S83" s="11" t="s">
        <v>119</v>
      </c>
      <c r="T83" s="10" t="s">
        <v>118</v>
      </c>
      <c r="U83" s="11" t="s">
        <v>119</v>
      </c>
      <c r="V83" s="10" t="s">
        <v>118</v>
      </c>
      <c r="W83" s="11" t="s">
        <v>119</v>
      </c>
      <c r="X83" s="9" t="s">
        <v>120</v>
      </c>
      <c r="Y83" s="31" t="s">
        <v>121</v>
      </c>
    </row>
    <row r="84" spans="1:25" ht="15">
      <c r="A84" s="6" t="s">
        <v>115</v>
      </c>
      <c r="B84" s="6">
        <v>81</v>
      </c>
      <c r="C84" s="7" t="s">
        <v>217</v>
      </c>
      <c r="D84" s="7" t="s">
        <v>218</v>
      </c>
      <c r="E84" s="10" t="s">
        <v>118</v>
      </c>
      <c r="F84" s="11" t="s">
        <v>119</v>
      </c>
      <c r="G84" s="10" t="s">
        <v>118</v>
      </c>
      <c r="H84" s="11" t="s">
        <v>119</v>
      </c>
      <c r="I84" s="11" t="s">
        <v>119</v>
      </c>
      <c r="J84" s="10" t="s">
        <v>118</v>
      </c>
      <c r="K84" s="10" t="s">
        <v>118</v>
      </c>
      <c r="L84" s="9" t="s">
        <v>120</v>
      </c>
      <c r="M84" s="10" t="s">
        <v>118</v>
      </c>
      <c r="N84" s="11" t="s">
        <v>119</v>
      </c>
      <c r="O84" s="11" t="s">
        <v>119</v>
      </c>
      <c r="P84" s="9" t="s">
        <v>120</v>
      </c>
      <c r="Q84" s="11" t="s">
        <v>119</v>
      </c>
      <c r="R84" s="11" t="s">
        <v>119</v>
      </c>
      <c r="S84" s="11" t="s">
        <v>119</v>
      </c>
      <c r="T84" s="10" t="s">
        <v>118</v>
      </c>
      <c r="U84" s="11" t="s">
        <v>119</v>
      </c>
      <c r="V84" s="10" t="s">
        <v>118</v>
      </c>
      <c r="W84" s="11" t="s">
        <v>119</v>
      </c>
      <c r="X84" s="11" t="s">
        <v>119</v>
      </c>
      <c r="Y84" s="31" t="s">
        <v>121</v>
      </c>
    </row>
    <row r="85" spans="1:25" ht="15">
      <c r="A85" s="6" t="s">
        <v>115</v>
      </c>
      <c r="B85" s="6">
        <v>82</v>
      </c>
      <c r="C85" s="7" t="s">
        <v>217</v>
      </c>
      <c r="D85" s="7" t="s">
        <v>219</v>
      </c>
      <c r="E85" s="10" t="s">
        <v>118</v>
      </c>
      <c r="F85" s="11" t="s">
        <v>119</v>
      </c>
      <c r="G85" s="10" t="s">
        <v>118</v>
      </c>
      <c r="H85" s="11" t="s">
        <v>119</v>
      </c>
      <c r="I85" s="11" t="s">
        <v>119</v>
      </c>
      <c r="J85" s="10" t="s">
        <v>118</v>
      </c>
      <c r="K85" s="9" t="s">
        <v>120</v>
      </c>
      <c r="L85" s="9" t="s">
        <v>120</v>
      </c>
      <c r="M85" s="10" t="s">
        <v>118</v>
      </c>
      <c r="N85" s="11" t="s">
        <v>119</v>
      </c>
      <c r="O85" s="11" t="s">
        <v>119</v>
      </c>
      <c r="P85" s="9" t="s">
        <v>120</v>
      </c>
      <c r="Q85" s="11" t="s">
        <v>119</v>
      </c>
      <c r="R85" s="11" t="s">
        <v>119</v>
      </c>
      <c r="S85" s="11" t="s">
        <v>119</v>
      </c>
      <c r="T85" s="10" t="s">
        <v>118</v>
      </c>
      <c r="U85" s="11" t="s">
        <v>119</v>
      </c>
      <c r="V85" s="10" t="s">
        <v>118</v>
      </c>
      <c r="W85" s="11" t="s">
        <v>119</v>
      </c>
      <c r="X85" s="11" t="s">
        <v>119</v>
      </c>
      <c r="Y85" s="31" t="s">
        <v>121</v>
      </c>
    </row>
    <row r="86" spans="1:25" ht="15">
      <c r="A86" s="6" t="s">
        <v>115</v>
      </c>
      <c r="B86" s="6">
        <v>83</v>
      </c>
      <c r="C86" s="7" t="s">
        <v>220</v>
      </c>
      <c r="D86" s="7" t="s">
        <v>221</v>
      </c>
      <c r="E86" s="10" t="s">
        <v>118</v>
      </c>
      <c r="F86" s="11" t="s">
        <v>119</v>
      </c>
      <c r="G86" s="10" t="s">
        <v>118</v>
      </c>
      <c r="H86" s="11" t="s">
        <v>119</v>
      </c>
      <c r="I86" s="11" t="s">
        <v>119</v>
      </c>
      <c r="J86" s="10" t="s">
        <v>118</v>
      </c>
      <c r="K86" s="9" t="s">
        <v>120</v>
      </c>
      <c r="L86" s="11" t="s">
        <v>119</v>
      </c>
      <c r="M86" s="9" t="s">
        <v>120</v>
      </c>
      <c r="N86" s="11" t="s">
        <v>119</v>
      </c>
      <c r="O86" s="11" t="s">
        <v>119</v>
      </c>
      <c r="P86" s="11" t="s">
        <v>119</v>
      </c>
      <c r="Q86" s="11" t="s">
        <v>119</v>
      </c>
      <c r="R86" s="11" t="s">
        <v>119</v>
      </c>
      <c r="S86" s="11" t="s">
        <v>119</v>
      </c>
      <c r="T86" s="10" t="s">
        <v>118</v>
      </c>
      <c r="U86" s="11" t="s">
        <v>119</v>
      </c>
      <c r="V86" s="10" t="s">
        <v>118</v>
      </c>
      <c r="W86" s="11" t="s">
        <v>119</v>
      </c>
      <c r="X86" s="11" t="s">
        <v>119</v>
      </c>
      <c r="Y86" s="31" t="s">
        <v>121</v>
      </c>
    </row>
    <row r="87" spans="1:25" ht="15">
      <c r="A87" s="6" t="s">
        <v>115</v>
      </c>
      <c r="B87" s="6">
        <v>84</v>
      </c>
      <c r="C87" s="7" t="s">
        <v>220</v>
      </c>
      <c r="D87" s="7" t="s">
        <v>222</v>
      </c>
      <c r="E87" s="10" t="s">
        <v>118</v>
      </c>
      <c r="F87" s="11" t="s">
        <v>119</v>
      </c>
      <c r="G87" s="10" t="s">
        <v>118</v>
      </c>
      <c r="H87" s="11" t="s">
        <v>119</v>
      </c>
      <c r="I87" s="11" t="s">
        <v>119</v>
      </c>
      <c r="J87" s="10" t="s">
        <v>118</v>
      </c>
      <c r="K87" s="9" t="s">
        <v>120</v>
      </c>
      <c r="L87" s="11" t="s">
        <v>119</v>
      </c>
      <c r="M87" s="9" t="s">
        <v>120</v>
      </c>
      <c r="N87" s="11" t="s">
        <v>119</v>
      </c>
      <c r="O87" s="11" t="s">
        <v>119</v>
      </c>
      <c r="P87" s="9" t="s">
        <v>120</v>
      </c>
      <c r="Q87" s="11" t="s">
        <v>119</v>
      </c>
      <c r="R87" s="11" t="s">
        <v>119</v>
      </c>
      <c r="S87" s="11" t="s">
        <v>119</v>
      </c>
      <c r="T87" s="10" t="s">
        <v>118</v>
      </c>
      <c r="U87" s="11" t="s">
        <v>119</v>
      </c>
      <c r="V87" s="10" t="s">
        <v>118</v>
      </c>
      <c r="W87" s="11" t="s">
        <v>119</v>
      </c>
      <c r="X87" s="11" t="s">
        <v>119</v>
      </c>
      <c r="Y87" s="31" t="s">
        <v>121</v>
      </c>
    </row>
    <row r="88" spans="1:25" ht="15">
      <c r="A88" s="6" t="s">
        <v>115</v>
      </c>
      <c r="B88" s="6">
        <v>85</v>
      </c>
      <c r="C88" s="7" t="s">
        <v>220</v>
      </c>
      <c r="D88" s="7" t="s">
        <v>223</v>
      </c>
      <c r="E88" s="10" t="s">
        <v>118</v>
      </c>
      <c r="F88" s="11" t="s">
        <v>119</v>
      </c>
      <c r="G88" s="10" t="s">
        <v>118</v>
      </c>
      <c r="H88" s="11" t="s">
        <v>119</v>
      </c>
      <c r="I88" s="11" t="s">
        <v>119</v>
      </c>
      <c r="J88" s="10" t="s">
        <v>118</v>
      </c>
      <c r="K88" s="10" t="s">
        <v>118</v>
      </c>
      <c r="L88" s="11" t="s">
        <v>119</v>
      </c>
      <c r="M88" s="9" t="s">
        <v>120</v>
      </c>
      <c r="N88" s="11" t="s">
        <v>119</v>
      </c>
      <c r="O88" s="11" t="s">
        <v>119</v>
      </c>
      <c r="P88" s="9" t="s">
        <v>120</v>
      </c>
      <c r="Q88" s="11" t="s">
        <v>119</v>
      </c>
      <c r="R88" s="11" t="s">
        <v>119</v>
      </c>
      <c r="S88" s="11" t="s">
        <v>119</v>
      </c>
      <c r="T88" s="10" t="s">
        <v>118</v>
      </c>
      <c r="U88" s="11" t="s">
        <v>119</v>
      </c>
      <c r="V88" s="10" t="s">
        <v>118</v>
      </c>
      <c r="W88" s="11" t="s">
        <v>119</v>
      </c>
      <c r="X88" s="11" t="s">
        <v>119</v>
      </c>
      <c r="Y88" s="31" t="s">
        <v>121</v>
      </c>
    </row>
    <row r="89" spans="1:25" ht="15">
      <c r="A89" s="6" t="s">
        <v>115</v>
      </c>
      <c r="B89" s="6">
        <v>86</v>
      </c>
      <c r="C89" s="7" t="s">
        <v>220</v>
      </c>
      <c r="D89" s="7" t="s">
        <v>224</v>
      </c>
      <c r="E89" s="10" t="s">
        <v>118</v>
      </c>
      <c r="F89" s="11" t="s">
        <v>119</v>
      </c>
      <c r="G89" s="10" t="s">
        <v>118</v>
      </c>
      <c r="H89" s="11" t="s">
        <v>119</v>
      </c>
      <c r="I89" s="11" t="s">
        <v>119</v>
      </c>
      <c r="J89" s="10" t="s">
        <v>118</v>
      </c>
      <c r="K89" s="10" t="s">
        <v>118</v>
      </c>
      <c r="L89" s="11" t="s">
        <v>119</v>
      </c>
      <c r="M89" s="9" t="s">
        <v>120</v>
      </c>
      <c r="N89" s="11" t="s">
        <v>119</v>
      </c>
      <c r="O89" s="11" t="s">
        <v>119</v>
      </c>
      <c r="P89" s="9" t="s">
        <v>120</v>
      </c>
      <c r="Q89" s="11" t="s">
        <v>119</v>
      </c>
      <c r="R89" s="11" t="s">
        <v>119</v>
      </c>
      <c r="S89" s="11" t="s">
        <v>119</v>
      </c>
      <c r="T89" s="10" t="s">
        <v>118</v>
      </c>
      <c r="U89" s="11" t="s">
        <v>119</v>
      </c>
      <c r="V89" s="10" t="s">
        <v>118</v>
      </c>
      <c r="W89" s="11" t="s">
        <v>119</v>
      </c>
      <c r="X89" s="9" t="s">
        <v>120</v>
      </c>
      <c r="Y89" s="31" t="s">
        <v>121</v>
      </c>
    </row>
    <row r="90" spans="1:25" ht="15">
      <c r="A90" s="6" t="s">
        <v>115</v>
      </c>
      <c r="B90" s="6">
        <v>87</v>
      </c>
      <c r="C90" s="7" t="s">
        <v>225</v>
      </c>
      <c r="D90" s="7" t="s">
        <v>226</v>
      </c>
      <c r="E90" s="10" t="s">
        <v>118</v>
      </c>
      <c r="F90" s="11" t="s">
        <v>119</v>
      </c>
      <c r="G90" s="10" t="s">
        <v>118</v>
      </c>
      <c r="H90" s="11" t="s">
        <v>119</v>
      </c>
      <c r="I90" s="11" t="s">
        <v>119</v>
      </c>
      <c r="J90" s="10" t="s">
        <v>118</v>
      </c>
      <c r="K90" s="10" t="s">
        <v>118</v>
      </c>
      <c r="L90" s="9" t="s">
        <v>120</v>
      </c>
      <c r="M90" s="10" t="s">
        <v>118</v>
      </c>
      <c r="N90" s="11" t="s">
        <v>119</v>
      </c>
      <c r="O90" s="11" t="s">
        <v>119</v>
      </c>
      <c r="P90" s="11" t="s">
        <v>119</v>
      </c>
      <c r="Q90" s="11" t="s">
        <v>119</v>
      </c>
      <c r="R90" s="11" t="s">
        <v>119</v>
      </c>
      <c r="S90" s="11" t="s">
        <v>119</v>
      </c>
      <c r="T90" s="9" t="s">
        <v>120</v>
      </c>
      <c r="U90" s="11" t="s">
        <v>119</v>
      </c>
      <c r="V90" s="10" t="s">
        <v>118</v>
      </c>
      <c r="W90" s="11" t="s">
        <v>119</v>
      </c>
      <c r="X90" s="9" t="s">
        <v>120</v>
      </c>
      <c r="Y90" s="31" t="s">
        <v>121</v>
      </c>
    </row>
    <row r="91" spans="1:25" ht="15">
      <c r="A91" s="6" t="s">
        <v>115</v>
      </c>
      <c r="B91" s="6">
        <v>88</v>
      </c>
      <c r="C91" s="7" t="s">
        <v>227</v>
      </c>
      <c r="D91" s="7" t="s">
        <v>228</v>
      </c>
      <c r="E91" s="10" t="s">
        <v>118</v>
      </c>
      <c r="F91" s="11" t="s">
        <v>119</v>
      </c>
      <c r="G91" s="10" t="s">
        <v>118</v>
      </c>
      <c r="H91" s="11" t="s">
        <v>119</v>
      </c>
      <c r="I91" s="11" t="s">
        <v>119</v>
      </c>
      <c r="J91" s="10" t="s">
        <v>118</v>
      </c>
      <c r="K91" s="10" t="s">
        <v>118</v>
      </c>
      <c r="L91" s="9" t="s">
        <v>120</v>
      </c>
      <c r="M91" s="10" t="s">
        <v>118</v>
      </c>
      <c r="N91" s="11" t="s">
        <v>119</v>
      </c>
      <c r="O91" s="11" t="s">
        <v>119</v>
      </c>
      <c r="P91" s="11" t="s">
        <v>119</v>
      </c>
      <c r="Q91" s="11" t="s">
        <v>119</v>
      </c>
      <c r="R91" s="11" t="s">
        <v>119</v>
      </c>
      <c r="S91" s="11" t="s">
        <v>119</v>
      </c>
      <c r="T91" s="9" t="s">
        <v>120</v>
      </c>
      <c r="U91" s="11" t="s">
        <v>119</v>
      </c>
      <c r="V91" s="10" t="s">
        <v>118</v>
      </c>
      <c r="W91" s="11" t="s">
        <v>119</v>
      </c>
      <c r="X91" s="9" t="s">
        <v>120</v>
      </c>
      <c r="Y91" s="10" t="s">
        <v>118</v>
      </c>
    </row>
    <row r="92" spans="1:25" ht="15">
      <c r="A92" s="6" t="s">
        <v>115</v>
      </c>
      <c r="B92" s="6">
        <v>89</v>
      </c>
      <c r="C92" s="7" t="s">
        <v>229</v>
      </c>
      <c r="D92" s="7" t="s">
        <v>230</v>
      </c>
      <c r="E92" s="10" t="s">
        <v>118</v>
      </c>
      <c r="F92" s="11" t="s">
        <v>119</v>
      </c>
      <c r="G92" s="10" t="s">
        <v>118</v>
      </c>
      <c r="H92" s="11" t="s">
        <v>119</v>
      </c>
      <c r="I92" s="11" t="s">
        <v>119</v>
      </c>
      <c r="J92" s="10" t="s">
        <v>118</v>
      </c>
      <c r="K92" s="10" t="s">
        <v>118</v>
      </c>
      <c r="L92" s="9" t="s">
        <v>120</v>
      </c>
      <c r="M92" s="10" t="s">
        <v>118</v>
      </c>
      <c r="N92" s="11" t="s">
        <v>119</v>
      </c>
      <c r="O92" s="11" t="s">
        <v>119</v>
      </c>
      <c r="P92" s="9" t="s">
        <v>120</v>
      </c>
      <c r="Q92" s="11" t="s">
        <v>119</v>
      </c>
      <c r="R92" s="11" t="s">
        <v>119</v>
      </c>
      <c r="S92" s="11" t="s">
        <v>119</v>
      </c>
      <c r="T92" s="10" t="s">
        <v>118</v>
      </c>
      <c r="U92" s="11" t="s">
        <v>119</v>
      </c>
      <c r="V92" s="10" t="s">
        <v>118</v>
      </c>
      <c r="W92" s="11" t="s">
        <v>119</v>
      </c>
      <c r="X92" s="11" t="s">
        <v>119</v>
      </c>
      <c r="Y92" s="31" t="s">
        <v>121</v>
      </c>
    </row>
    <row r="93" spans="1:25" ht="15">
      <c r="A93" s="6" t="s">
        <v>115</v>
      </c>
      <c r="B93" s="6">
        <v>90</v>
      </c>
      <c r="C93" s="7" t="s">
        <v>231</v>
      </c>
      <c r="D93" s="7" t="s">
        <v>232</v>
      </c>
      <c r="E93" s="10" t="s">
        <v>118</v>
      </c>
      <c r="F93" s="11" t="s">
        <v>119</v>
      </c>
      <c r="G93" s="10" t="s">
        <v>118</v>
      </c>
      <c r="H93" s="11" t="s">
        <v>119</v>
      </c>
      <c r="I93" s="11" t="s">
        <v>119</v>
      </c>
      <c r="J93" s="10" t="s">
        <v>118</v>
      </c>
      <c r="K93" s="9" t="s">
        <v>120</v>
      </c>
      <c r="L93" s="9" t="s">
        <v>120</v>
      </c>
      <c r="M93" s="10" t="s">
        <v>118</v>
      </c>
      <c r="N93" s="11" t="s">
        <v>119</v>
      </c>
      <c r="O93" s="11" t="s">
        <v>119</v>
      </c>
      <c r="P93" s="9" t="s">
        <v>120</v>
      </c>
      <c r="Q93" s="11" t="s">
        <v>119</v>
      </c>
      <c r="R93" s="11" t="s">
        <v>119</v>
      </c>
      <c r="S93" s="11" t="s">
        <v>119</v>
      </c>
      <c r="T93" s="9" t="s">
        <v>120</v>
      </c>
      <c r="U93" s="11" t="s">
        <v>119</v>
      </c>
      <c r="V93" s="10" t="s">
        <v>118</v>
      </c>
      <c r="W93" s="11" t="s">
        <v>119</v>
      </c>
      <c r="X93" s="11" t="s">
        <v>119</v>
      </c>
      <c r="Y93" s="31" t="s">
        <v>121</v>
      </c>
    </row>
    <row r="94" spans="1:25" ht="30.75">
      <c r="A94" s="6" t="s">
        <v>115</v>
      </c>
      <c r="B94" s="6">
        <v>91</v>
      </c>
      <c r="C94" s="7" t="s">
        <v>231</v>
      </c>
      <c r="D94" s="7" t="s">
        <v>233</v>
      </c>
      <c r="E94" s="10" t="s">
        <v>118</v>
      </c>
      <c r="F94" s="11" t="s">
        <v>119</v>
      </c>
      <c r="G94" s="10" t="s">
        <v>118</v>
      </c>
      <c r="H94" s="11" t="s">
        <v>119</v>
      </c>
      <c r="I94" s="9" t="s">
        <v>120</v>
      </c>
      <c r="J94" s="10" t="s">
        <v>118</v>
      </c>
      <c r="K94" s="10" t="s">
        <v>118</v>
      </c>
      <c r="L94" s="9" t="s">
        <v>120</v>
      </c>
      <c r="M94" s="10" t="s">
        <v>118</v>
      </c>
      <c r="N94" s="11" t="s">
        <v>119</v>
      </c>
      <c r="O94" s="11" t="s">
        <v>119</v>
      </c>
      <c r="P94" s="9" t="s">
        <v>120</v>
      </c>
      <c r="Q94" s="11" t="s">
        <v>119</v>
      </c>
      <c r="R94" s="11" t="s">
        <v>119</v>
      </c>
      <c r="S94" s="11" t="s">
        <v>119</v>
      </c>
      <c r="T94" s="10" t="s">
        <v>118</v>
      </c>
      <c r="U94" s="11" t="s">
        <v>119</v>
      </c>
      <c r="V94" s="10" t="s">
        <v>118</v>
      </c>
      <c r="W94" s="11" t="s">
        <v>119</v>
      </c>
      <c r="X94" s="11" t="s">
        <v>119</v>
      </c>
      <c r="Y94" s="10" t="s">
        <v>118</v>
      </c>
    </row>
    <row r="95" spans="1:25" ht="15">
      <c r="A95" s="6" t="s">
        <v>115</v>
      </c>
      <c r="B95" s="6">
        <v>92</v>
      </c>
      <c r="C95" s="7" t="s">
        <v>234</v>
      </c>
      <c r="D95" s="7" t="s">
        <v>235</v>
      </c>
      <c r="E95" s="10" t="s">
        <v>118</v>
      </c>
      <c r="F95" s="11" t="s">
        <v>119</v>
      </c>
      <c r="G95" s="10" t="s">
        <v>118</v>
      </c>
      <c r="H95" s="11" t="s">
        <v>119</v>
      </c>
      <c r="I95" s="11" t="s">
        <v>119</v>
      </c>
      <c r="J95" s="10" t="s">
        <v>118</v>
      </c>
      <c r="K95" s="9" t="s">
        <v>120</v>
      </c>
      <c r="L95" s="9" t="s">
        <v>120</v>
      </c>
      <c r="M95" s="10" t="s">
        <v>118</v>
      </c>
      <c r="N95" s="11" t="s">
        <v>119</v>
      </c>
      <c r="O95" s="11" t="s">
        <v>119</v>
      </c>
      <c r="P95" s="9" t="s">
        <v>120</v>
      </c>
      <c r="Q95" s="11" t="s">
        <v>119</v>
      </c>
      <c r="R95" s="11" t="s">
        <v>119</v>
      </c>
      <c r="S95" s="11" t="s">
        <v>119</v>
      </c>
      <c r="T95" s="9" t="s">
        <v>120</v>
      </c>
      <c r="U95" s="11" t="s">
        <v>119</v>
      </c>
      <c r="V95" s="10" t="s">
        <v>118</v>
      </c>
      <c r="W95" s="11" t="s">
        <v>119</v>
      </c>
      <c r="X95" s="11" t="s">
        <v>119</v>
      </c>
      <c r="Y95" s="31" t="s">
        <v>121</v>
      </c>
    </row>
    <row r="96" spans="1:25" ht="15">
      <c r="A96" s="6" t="s">
        <v>115</v>
      </c>
      <c r="B96" s="6">
        <v>93</v>
      </c>
      <c r="C96" s="7" t="s">
        <v>234</v>
      </c>
      <c r="D96" s="7" t="s">
        <v>236</v>
      </c>
      <c r="E96" s="10" t="s">
        <v>118</v>
      </c>
      <c r="F96" s="11" t="s">
        <v>119</v>
      </c>
      <c r="G96" s="10" t="s">
        <v>118</v>
      </c>
      <c r="H96" s="11" t="s">
        <v>119</v>
      </c>
      <c r="I96" s="11" t="s">
        <v>119</v>
      </c>
      <c r="J96" s="10" t="s">
        <v>118</v>
      </c>
      <c r="K96" s="10" t="s">
        <v>118</v>
      </c>
      <c r="L96" s="9" t="s">
        <v>120</v>
      </c>
      <c r="M96" s="10" t="s">
        <v>118</v>
      </c>
      <c r="N96" s="11" t="s">
        <v>119</v>
      </c>
      <c r="O96" s="11" t="s">
        <v>119</v>
      </c>
      <c r="P96" s="9" t="s">
        <v>120</v>
      </c>
      <c r="Q96" s="11" t="s">
        <v>119</v>
      </c>
      <c r="R96" s="11" t="s">
        <v>119</v>
      </c>
      <c r="S96" s="11" t="s">
        <v>119</v>
      </c>
      <c r="T96" s="10" t="s">
        <v>118</v>
      </c>
      <c r="U96" s="11" t="s">
        <v>119</v>
      </c>
      <c r="V96" s="10" t="s">
        <v>118</v>
      </c>
      <c r="W96" s="11" t="s">
        <v>119</v>
      </c>
      <c r="X96" s="9" t="s">
        <v>120</v>
      </c>
      <c r="Y96" s="31" t="s">
        <v>121</v>
      </c>
    </row>
    <row r="97" spans="1:25" ht="30.75">
      <c r="A97" s="6" t="s">
        <v>115</v>
      </c>
      <c r="B97" s="6">
        <v>94</v>
      </c>
      <c r="C97" s="7" t="s">
        <v>234</v>
      </c>
      <c r="D97" s="7" t="s">
        <v>237</v>
      </c>
      <c r="E97" s="10" t="s">
        <v>118</v>
      </c>
      <c r="F97" s="11" t="s">
        <v>119</v>
      </c>
      <c r="G97" s="10" t="s">
        <v>118</v>
      </c>
      <c r="H97" s="9" t="s">
        <v>120</v>
      </c>
      <c r="I97" s="9" t="s">
        <v>120</v>
      </c>
      <c r="J97" s="10" t="s">
        <v>118</v>
      </c>
      <c r="K97" s="10" t="s">
        <v>118</v>
      </c>
      <c r="L97" s="9" t="s">
        <v>120</v>
      </c>
      <c r="M97" s="10" t="s">
        <v>118</v>
      </c>
      <c r="N97" s="11" t="s">
        <v>119</v>
      </c>
      <c r="O97" s="11" t="s">
        <v>119</v>
      </c>
      <c r="P97" s="9" t="s">
        <v>120</v>
      </c>
      <c r="Q97" s="11" t="s">
        <v>119</v>
      </c>
      <c r="R97" s="11" t="s">
        <v>119</v>
      </c>
      <c r="S97" s="11" t="s">
        <v>119</v>
      </c>
      <c r="T97" s="10" t="s">
        <v>118</v>
      </c>
      <c r="U97" s="11" t="s">
        <v>119</v>
      </c>
      <c r="V97" s="10" t="s">
        <v>118</v>
      </c>
      <c r="W97" s="11" t="s">
        <v>119</v>
      </c>
      <c r="X97" s="9" t="s">
        <v>120</v>
      </c>
      <c r="Y97" s="31" t="s">
        <v>121</v>
      </c>
    </row>
    <row r="98" spans="1:25" ht="30.75">
      <c r="A98" s="6" t="s">
        <v>115</v>
      </c>
      <c r="B98" s="6">
        <v>95</v>
      </c>
      <c r="C98" s="7" t="s">
        <v>234</v>
      </c>
      <c r="D98" s="7" t="s">
        <v>238</v>
      </c>
      <c r="E98" s="10" t="s">
        <v>118</v>
      </c>
      <c r="F98" s="11" t="s">
        <v>119</v>
      </c>
      <c r="G98" s="10" t="s">
        <v>118</v>
      </c>
      <c r="H98" s="11" t="s">
        <v>119</v>
      </c>
      <c r="I98" s="9" t="s">
        <v>120</v>
      </c>
      <c r="J98" s="10" t="s">
        <v>118</v>
      </c>
      <c r="K98" s="9" t="s">
        <v>120</v>
      </c>
      <c r="L98" s="9" t="s">
        <v>120</v>
      </c>
      <c r="M98" s="10" t="s">
        <v>118</v>
      </c>
      <c r="N98" s="11" t="s">
        <v>119</v>
      </c>
      <c r="O98" s="11" t="s">
        <v>119</v>
      </c>
      <c r="P98" s="9" t="s">
        <v>120</v>
      </c>
      <c r="Q98" s="11" t="s">
        <v>119</v>
      </c>
      <c r="R98" s="11" t="s">
        <v>119</v>
      </c>
      <c r="S98" s="11" t="s">
        <v>119</v>
      </c>
      <c r="T98" s="10" t="s">
        <v>118</v>
      </c>
      <c r="U98" s="11" t="s">
        <v>119</v>
      </c>
      <c r="V98" s="10" t="s">
        <v>118</v>
      </c>
      <c r="W98" s="11" t="s">
        <v>119</v>
      </c>
      <c r="X98" s="11" t="s">
        <v>119</v>
      </c>
      <c r="Y98" s="31" t="s">
        <v>121</v>
      </c>
    </row>
    <row r="99" spans="1:25" ht="30.75">
      <c r="A99" s="6" t="s">
        <v>115</v>
      </c>
      <c r="B99" s="6">
        <v>96</v>
      </c>
      <c r="C99" s="7" t="s">
        <v>234</v>
      </c>
      <c r="D99" s="7" t="s">
        <v>239</v>
      </c>
      <c r="E99" s="10" t="s">
        <v>118</v>
      </c>
      <c r="F99" s="11" t="s">
        <v>119</v>
      </c>
      <c r="G99" s="10" t="s">
        <v>118</v>
      </c>
      <c r="H99" s="11" t="s">
        <v>119</v>
      </c>
      <c r="I99" s="9" t="s">
        <v>120</v>
      </c>
      <c r="J99" s="10" t="s">
        <v>118</v>
      </c>
      <c r="K99" s="10" t="s">
        <v>118</v>
      </c>
      <c r="L99" s="9" t="s">
        <v>120</v>
      </c>
      <c r="M99" s="10" t="s">
        <v>118</v>
      </c>
      <c r="N99" s="11" t="s">
        <v>119</v>
      </c>
      <c r="O99" s="11" t="s">
        <v>119</v>
      </c>
      <c r="P99" s="9" t="s">
        <v>120</v>
      </c>
      <c r="Q99" s="11" t="s">
        <v>119</v>
      </c>
      <c r="R99" s="11" t="s">
        <v>119</v>
      </c>
      <c r="S99" s="11" t="s">
        <v>119</v>
      </c>
      <c r="T99" s="10" t="s">
        <v>118</v>
      </c>
      <c r="U99" s="11" t="s">
        <v>119</v>
      </c>
      <c r="V99" s="10" t="s">
        <v>118</v>
      </c>
      <c r="W99" s="11" t="s">
        <v>119</v>
      </c>
      <c r="X99" s="9" t="s">
        <v>120</v>
      </c>
      <c r="Y99" s="31" t="s">
        <v>121</v>
      </c>
    </row>
    <row r="100" spans="1:25" ht="30.75">
      <c r="A100" s="6" t="s">
        <v>115</v>
      </c>
      <c r="B100" s="6">
        <v>97</v>
      </c>
      <c r="C100" s="7" t="s">
        <v>234</v>
      </c>
      <c r="D100" s="7" t="s">
        <v>240</v>
      </c>
      <c r="E100" s="10" t="s">
        <v>118</v>
      </c>
      <c r="F100" s="11" t="s">
        <v>119</v>
      </c>
      <c r="G100" s="10" t="s">
        <v>118</v>
      </c>
      <c r="H100" s="11" t="s">
        <v>119</v>
      </c>
      <c r="I100" s="9" t="s">
        <v>120</v>
      </c>
      <c r="J100" s="10" t="s">
        <v>118</v>
      </c>
      <c r="K100" s="10" t="s">
        <v>118</v>
      </c>
      <c r="L100" s="9" t="s">
        <v>120</v>
      </c>
      <c r="M100" s="10" t="s">
        <v>118</v>
      </c>
      <c r="N100" s="11" t="s">
        <v>119</v>
      </c>
      <c r="O100" s="11" t="s">
        <v>119</v>
      </c>
      <c r="P100" s="9" t="s">
        <v>120</v>
      </c>
      <c r="Q100" s="11" t="s">
        <v>119</v>
      </c>
      <c r="R100" s="11" t="s">
        <v>119</v>
      </c>
      <c r="S100" s="11" t="s">
        <v>119</v>
      </c>
      <c r="T100" s="10" t="s">
        <v>118</v>
      </c>
      <c r="U100" s="11" t="s">
        <v>119</v>
      </c>
      <c r="V100" s="10" t="s">
        <v>118</v>
      </c>
      <c r="W100" s="11" t="s">
        <v>119</v>
      </c>
      <c r="X100" s="9" t="s">
        <v>120</v>
      </c>
      <c r="Y100" s="10" t="s">
        <v>118</v>
      </c>
    </row>
    <row r="101" spans="1:25" ht="15">
      <c r="A101" s="6" t="s">
        <v>115</v>
      </c>
      <c r="B101" s="6">
        <v>98</v>
      </c>
      <c r="C101" s="7" t="s">
        <v>234</v>
      </c>
      <c r="D101" s="7" t="s">
        <v>241</v>
      </c>
      <c r="E101" s="10" t="s">
        <v>118</v>
      </c>
      <c r="F101" s="11" t="s">
        <v>119</v>
      </c>
      <c r="G101" s="10" t="s">
        <v>118</v>
      </c>
      <c r="H101" s="11" t="s">
        <v>119</v>
      </c>
      <c r="I101" s="11" t="s">
        <v>119</v>
      </c>
      <c r="J101" s="10" t="s">
        <v>118</v>
      </c>
      <c r="K101" s="10" t="s">
        <v>118</v>
      </c>
      <c r="L101" s="9" t="s">
        <v>120</v>
      </c>
      <c r="M101" s="10" t="s">
        <v>118</v>
      </c>
      <c r="N101" s="11" t="s">
        <v>119</v>
      </c>
      <c r="O101" s="11" t="s">
        <v>119</v>
      </c>
      <c r="P101" s="11" t="s">
        <v>119</v>
      </c>
      <c r="Q101" s="11" t="s">
        <v>119</v>
      </c>
      <c r="R101" s="11" t="s">
        <v>119</v>
      </c>
      <c r="S101" s="11" t="s">
        <v>119</v>
      </c>
      <c r="T101" s="10" t="s">
        <v>118</v>
      </c>
      <c r="U101" s="11" t="s">
        <v>119</v>
      </c>
      <c r="V101" s="10" t="s">
        <v>118</v>
      </c>
      <c r="W101" s="11" t="s">
        <v>119</v>
      </c>
      <c r="X101" s="9" t="s">
        <v>120</v>
      </c>
      <c r="Y101" s="31" t="s">
        <v>121</v>
      </c>
    </row>
    <row r="102" spans="1:25" ht="15">
      <c r="A102" s="6" t="s">
        <v>115</v>
      </c>
      <c r="B102" s="6">
        <v>99</v>
      </c>
      <c r="C102" s="7" t="s">
        <v>242</v>
      </c>
      <c r="D102" s="7" t="s">
        <v>243</v>
      </c>
      <c r="E102" s="10" t="s">
        <v>118</v>
      </c>
      <c r="F102" s="11" t="s">
        <v>119</v>
      </c>
      <c r="G102" s="10" t="s">
        <v>118</v>
      </c>
      <c r="H102" s="11" t="s">
        <v>119</v>
      </c>
      <c r="I102" s="11" t="s">
        <v>119</v>
      </c>
      <c r="J102" s="10" t="s">
        <v>118</v>
      </c>
      <c r="K102" s="10" t="s">
        <v>118</v>
      </c>
      <c r="L102" s="9" t="s">
        <v>120</v>
      </c>
      <c r="M102" s="10" t="s">
        <v>118</v>
      </c>
      <c r="N102" s="11" t="s">
        <v>119</v>
      </c>
      <c r="O102" s="11" t="s">
        <v>119</v>
      </c>
      <c r="P102" s="9" t="s">
        <v>120</v>
      </c>
      <c r="Q102" s="11" t="s">
        <v>119</v>
      </c>
      <c r="R102" s="11" t="s">
        <v>119</v>
      </c>
      <c r="S102" s="11" t="s">
        <v>119</v>
      </c>
      <c r="T102" s="10" t="s">
        <v>118</v>
      </c>
      <c r="U102" s="11" t="s">
        <v>119</v>
      </c>
      <c r="V102" s="10" t="s">
        <v>118</v>
      </c>
      <c r="W102" s="11" t="s">
        <v>119</v>
      </c>
      <c r="X102" s="11" t="s">
        <v>119</v>
      </c>
      <c r="Y102" s="31" t="s">
        <v>121</v>
      </c>
    </row>
    <row r="103" spans="1:25" ht="15">
      <c r="A103" s="6" t="s">
        <v>115</v>
      </c>
      <c r="B103" s="6">
        <v>100</v>
      </c>
      <c r="C103" s="7" t="s">
        <v>242</v>
      </c>
      <c r="D103" s="7" t="s">
        <v>244</v>
      </c>
      <c r="E103" s="10" t="s">
        <v>118</v>
      </c>
      <c r="F103" s="11" t="s">
        <v>119</v>
      </c>
      <c r="G103" s="11" t="s">
        <v>119</v>
      </c>
      <c r="H103" s="11" t="s">
        <v>119</v>
      </c>
      <c r="I103" s="11" t="s">
        <v>119</v>
      </c>
      <c r="J103" s="10" t="s">
        <v>118</v>
      </c>
      <c r="K103" s="9" t="s">
        <v>120</v>
      </c>
      <c r="L103" s="9" t="s">
        <v>120</v>
      </c>
      <c r="M103" s="10" t="s">
        <v>118</v>
      </c>
      <c r="N103" s="11" t="s">
        <v>119</v>
      </c>
      <c r="O103" s="11" t="s">
        <v>119</v>
      </c>
      <c r="P103" s="11" t="s">
        <v>119</v>
      </c>
      <c r="Q103" s="11" t="s">
        <v>119</v>
      </c>
      <c r="R103" s="11" t="s">
        <v>119</v>
      </c>
      <c r="S103" s="11" t="s">
        <v>119</v>
      </c>
      <c r="T103" s="10" t="s">
        <v>118</v>
      </c>
      <c r="U103" s="11" t="s">
        <v>119</v>
      </c>
      <c r="V103" s="10" t="s">
        <v>118</v>
      </c>
      <c r="W103" s="11" t="s">
        <v>119</v>
      </c>
      <c r="X103" s="11" t="s">
        <v>119</v>
      </c>
      <c r="Y103" s="31" t="s">
        <v>121</v>
      </c>
    </row>
    <row r="104" spans="1:25" ht="15">
      <c r="A104" s="6" t="s">
        <v>115</v>
      </c>
      <c r="B104" s="6">
        <v>101</v>
      </c>
      <c r="C104" s="7" t="s">
        <v>245</v>
      </c>
      <c r="D104" s="7" t="s">
        <v>246</v>
      </c>
      <c r="E104" s="10" t="s">
        <v>118</v>
      </c>
      <c r="F104" s="11" t="s">
        <v>119</v>
      </c>
      <c r="G104" s="10" t="s">
        <v>118</v>
      </c>
      <c r="H104" s="11" t="s">
        <v>119</v>
      </c>
      <c r="I104" s="11" t="s">
        <v>119</v>
      </c>
      <c r="J104" s="10" t="s">
        <v>118</v>
      </c>
      <c r="K104" s="10" t="s">
        <v>118</v>
      </c>
      <c r="L104" s="9" t="s">
        <v>120</v>
      </c>
      <c r="M104" s="10" t="s">
        <v>118</v>
      </c>
      <c r="N104" s="11" t="s">
        <v>119</v>
      </c>
      <c r="O104" s="9" t="s">
        <v>120</v>
      </c>
      <c r="P104" s="9" t="s">
        <v>120</v>
      </c>
      <c r="Q104" s="9" t="s">
        <v>120</v>
      </c>
      <c r="R104" s="11" t="s">
        <v>119</v>
      </c>
      <c r="S104" s="11" t="s">
        <v>119</v>
      </c>
      <c r="T104" s="10" t="s">
        <v>118</v>
      </c>
      <c r="U104" s="11" t="s">
        <v>119</v>
      </c>
      <c r="V104" s="10" t="s">
        <v>118</v>
      </c>
      <c r="W104" s="9" t="s">
        <v>120</v>
      </c>
      <c r="X104" s="9" t="s">
        <v>120</v>
      </c>
      <c r="Y104" s="31" t="s">
        <v>121</v>
      </c>
    </row>
  </sheetData>
  <mergeCells count="5">
    <mergeCell ref="A2:A3"/>
    <mergeCell ref="B2:B3"/>
    <mergeCell ref="C2:C3"/>
    <mergeCell ref="D2:D3"/>
    <mergeCell ref="A1:Y1"/>
  </mergeCells>
  <conditionalFormatting sqref="E4:X104">
    <cfRule type="expression" dxfId="54" priority="49">
      <formula>NOT(ISERROR(SEARCH("Available",E4)))</formula>
    </cfRule>
    <cfRule type="expression" dxfId="53" priority="50">
      <formula>NOT(ISERROR(SEARCH("Partial: Not Comprehensive",E4)))</formula>
    </cfRule>
    <cfRule type="expression" dxfId="52" priority="51">
      <formula>NOT(ISERROR(SEARCH("Missing",E4)))</formula>
    </cfRule>
  </conditionalFormatting>
  <conditionalFormatting sqref="Y4:Y8">
    <cfRule type="expression" dxfId="51" priority="46">
      <formula>NOT(ISERROR(SEARCH("Available",Y4)))</formula>
    </cfRule>
    <cfRule type="expression" dxfId="50" priority="47">
      <formula>NOT(ISERROR(SEARCH("Partial: Not Comprehensive",Y4)))</formula>
    </cfRule>
    <cfRule type="expression" dxfId="49" priority="48">
      <formula>NOT(ISERROR(SEARCH("Missing",Y4)))</formula>
    </cfRule>
  </conditionalFormatting>
  <conditionalFormatting sqref="Y66">
    <cfRule type="expression" dxfId="48" priority="43">
      <formula>NOT(ISERROR(SEARCH("Available",Y66)))</formula>
    </cfRule>
    <cfRule type="expression" dxfId="47" priority="44">
      <formula>NOT(ISERROR(SEARCH("Partial: Not Comprehensive",Y66)))</formula>
    </cfRule>
    <cfRule type="expression" dxfId="46" priority="45">
      <formula>NOT(ISERROR(SEARCH("Missing",Y66)))</formula>
    </cfRule>
  </conditionalFormatting>
  <conditionalFormatting sqref="Y9 Y52 Y59:Y62 Y65">
    <cfRule type="expression" dxfId="45" priority="40">
      <formula>NOT(ISERROR(SEARCH("Available",Y9)))</formula>
    </cfRule>
    <cfRule type="expression" dxfId="44" priority="41">
      <formula>NOT(ISERROR(SEARCH("Partial: Not Comprehensive",Y9)))</formula>
    </cfRule>
    <cfRule type="expression" dxfId="43" priority="42">
      <formula>NOT(ISERROR(SEARCH("Missing",Y9)))</formula>
    </cfRule>
  </conditionalFormatting>
  <conditionalFormatting sqref="Y67:Y68 Y70:Y73 Y76 Y78:Y82 Y91 Y94 Y100">
    <cfRule type="expression" dxfId="42" priority="37">
      <formula>NOT(ISERROR(SEARCH("Available",Y67)))</formula>
    </cfRule>
    <cfRule type="expression" dxfId="41" priority="38">
      <formula>NOT(ISERROR(SEARCH("Partial: Not Comprehensive",Y67)))</formula>
    </cfRule>
    <cfRule type="expression" dxfId="40" priority="39">
      <formula>NOT(ISERROR(SEARCH("Missing",Y67)))</formula>
    </cfRule>
  </conditionalFormatting>
  <conditionalFormatting sqref="Y10:Y51">
    <cfRule type="expression" dxfId="39" priority="34">
      <formula>NOT(ISERROR(SEARCH("Available",Y10)))</formula>
    </cfRule>
    <cfRule type="expression" dxfId="38" priority="35">
      <formula>NOT(ISERROR(SEARCH("Partial: Not Comprehensive",Y10)))</formula>
    </cfRule>
    <cfRule type="expression" dxfId="37" priority="36">
      <formula>NOT(ISERROR(SEARCH("Missing",Y10)))</formula>
    </cfRule>
  </conditionalFormatting>
  <conditionalFormatting sqref="Y53:Y58">
    <cfRule type="expression" dxfId="36" priority="31">
      <formula>NOT(ISERROR(SEARCH("Available",Y53)))</formula>
    </cfRule>
    <cfRule type="expression" dxfId="35" priority="32">
      <formula>NOT(ISERROR(SEARCH("Partial: Not Comprehensive",Y53)))</formula>
    </cfRule>
    <cfRule type="expression" dxfId="34" priority="33">
      <formula>NOT(ISERROR(SEARCH("Missing",Y53)))</formula>
    </cfRule>
  </conditionalFormatting>
  <conditionalFormatting sqref="Y63">
    <cfRule type="expression" dxfId="33" priority="28">
      <formula>NOT(ISERROR(SEARCH("Available",Y63)))</formula>
    </cfRule>
    <cfRule type="expression" dxfId="32" priority="29">
      <formula>NOT(ISERROR(SEARCH("Partial: Not Comprehensive",Y63)))</formula>
    </cfRule>
    <cfRule type="expression" dxfId="31" priority="30">
      <formula>NOT(ISERROR(SEARCH("Missing",Y63)))</formula>
    </cfRule>
  </conditionalFormatting>
  <conditionalFormatting sqref="Y64">
    <cfRule type="expression" dxfId="30" priority="25">
      <formula>NOT(ISERROR(SEARCH("Available",Y64)))</formula>
    </cfRule>
    <cfRule type="expression" dxfId="29" priority="26">
      <formula>NOT(ISERROR(SEARCH("Partial: Not Comprehensive",Y64)))</formula>
    </cfRule>
    <cfRule type="expression" dxfId="28" priority="27">
      <formula>NOT(ISERROR(SEARCH("Missing",Y64)))</formula>
    </cfRule>
  </conditionalFormatting>
  <conditionalFormatting sqref="Y69">
    <cfRule type="expression" dxfId="27" priority="22">
      <formula>NOT(ISERROR(SEARCH("Available",Y69)))</formula>
    </cfRule>
    <cfRule type="expression" dxfId="26" priority="23">
      <formula>NOT(ISERROR(SEARCH("Partial: Not Comprehensive",Y69)))</formula>
    </cfRule>
    <cfRule type="expression" dxfId="25" priority="24">
      <formula>NOT(ISERROR(SEARCH("Missing",Y69)))</formula>
    </cfRule>
  </conditionalFormatting>
  <conditionalFormatting sqref="Y74">
    <cfRule type="expression" dxfId="24" priority="19">
      <formula>NOT(ISERROR(SEARCH("Available",Y74)))</formula>
    </cfRule>
    <cfRule type="expression" dxfId="23" priority="20">
      <formula>NOT(ISERROR(SEARCH("Partial: Not Comprehensive",Y74)))</formula>
    </cfRule>
    <cfRule type="expression" dxfId="22" priority="21">
      <formula>NOT(ISERROR(SEARCH("Missing",Y74)))</formula>
    </cfRule>
  </conditionalFormatting>
  <conditionalFormatting sqref="Y75">
    <cfRule type="expression" dxfId="21" priority="16">
      <formula>NOT(ISERROR(SEARCH("Available",Y75)))</formula>
    </cfRule>
    <cfRule type="expression" dxfId="20" priority="17">
      <formula>NOT(ISERROR(SEARCH("Partial: Not Comprehensive",Y75)))</formula>
    </cfRule>
    <cfRule type="expression" dxfId="19" priority="18">
      <formula>NOT(ISERROR(SEARCH("Missing",Y75)))</formula>
    </cfRule>
  </conditionalFormatting>
  <conditionalFormatting sqref="Y77">
    <cfRule type="expression" dxfId="18" priority="13">
      <formula>NOT(ISERROR(SEARCH("Available",Y77)))</formula>
    </cfRule>
    <cfRule type="expression" dxfId="17" priority="14">
      <formula>NOT(ISERROR(SEARCH("Partial: Not Comprehensive",Y77)))</formula>
    </cfRule>
    <cfRule type="expression" dxfId="16" priority="15">
      <formula>NOT(ISERROR(SEARCH("Missing",Y77)))</formula>
    </cfRule>
  </conditionalFormatting>
  <conditionalFormatting sqref="Y83:Y90">
    <cfRule type="expression" dxfId="15" priority="10">
      <formula>NOT(ISERROR(SEARCH("Available",Y83)))</formula>
    </cfRule>
    <cfRule type="expression" dxfId="14" priority="11">
      <formula>NOT(ISERROR(SEARCH("Partial: Not Comprehensive",Y83)))</formula>
    </cfRule>
    <cfRule type="expression" dxfId="13" priority="12">
      <formula>NOT(ISERROR(SEARCH("Missing",Y83)))</formula>
    </cfRule>
  </conditionalFormatting>
  <conditionalFormatting sqref="Y92:Y93">
    <cfRule type="expression" dxfId="12" priority="7">
      <formula>NOT(ISERROR(SEARCH("Available",Y92)))</formula>
    </cfRule>
    <cfRule type="expression" dxfId="11" priority="8">
      <formula>NOT(ISERROR(SEARCH("Partial: Not Comprehensive",Y92)))</formula>
    </cfRule>
    <cfRule type="expression" dxfId="10" priority="9">
      <formula>NOT(ISERROR(SEARCH("Missing",Y92)))</formula>
    </cfRule>
  </conditionalFormatting>
  <conditionalFormatting sqref="Y95:Y99">
    <cfRule type="expression" dxfId="9" priority="4">
      <formula>NOT(ISERROR(SEARCH("Available",Y95)))</formula>
    </cfRule>
    <cfRule type="expression" dxfId="8" priority="5">
      <formula>NOT(ISERROR(SEARCH("Partial: Not Comprehensive",Y95)))</formula>
    </cfRule>
    <cfRule type="expression" dxfId="7" priority="6">
      <formula>NOT(ISERROR(SEARCH("Missing",Y95)))</formula>
    </cfRule>
  </conditionalFormatting>
  <conditionalFormatting sqref="Y101:Y104">
    <cfRule type="expression" dxfId="6" priority="1">
      <formula>NOT(ISERROR(SEARCH("Available",Y101)))</formula>
    </cfRule>
    <cfRule type="expression" dxfId="5" priority="2">
      <formula>NOT(ISERROR(SEARCH("Partial: Not Comprehensive",Y101)))</formula>
    </cfRule>
    <cfRule type="expression" dxfId="4" priority="3">
      <formula>NOT(ISERROR(SEARCH("Missing",Y101)))</formula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B1:F64"/>
  <sheetViews>
    <sheetView tabSelected="1" workbookViewId="0">
      <selection activeCell="C38" sqref="C38"/>
    </sheetView>
  </sheetViews>
  <sheetFormatPr defaultColWidth="8.85546875" defaultRowHeight="13.9"/>
  <cols>
    <col min="1" max="1" width="4" style="1" customWidth="1"/>
    <col min="2" max="2" width="32" style="1" customWidth="1"/>
    <col min="3" max="5" width="16" style="1" customWidth="1"/>
    <col min="6" max="6" width="14.7109375" style="1" bestFit="1" customWidth="1"/>
    <col min="7" max="7" width="5.42578125" style="1" bestFit="1" customWidth="1"/>
    <col min="8" max="8" width="35" style="1" customWidth="1"/>
    <col min="9" max="10" width="16" style="1" customWidth="1"/>
    <col min="11" max="16384" width="8.85546875" style="1"/>
  </cols>
  <sheetData>
    <row r="1" spans="2:6" ht="32.1" customHeight="1">
      <c r="B1" s="34" t="s">
        <v>247</v>
      </c>
      <c r="C1" s="40"/>
      <c r="D1" s="40"/>
      <c r="E1" s="40"/>
      <c r="F1" s="40"/>
    </row>
    <row r="3" spans="2:6" ht="18" customHeight="1">
      <c r="B3" s="26" t="s">
        <v>248</v>
      </c>
      <c r="C3" s="26" t="s">
        <v>249</v>
      </c>
      <c r="D3" s="26" t="s">
        <v>250</v>
      </c>
      <c r="E3" s="26" t="s">
        <v>251</v>
      </c>
    </row>
    <row r="4" spans="2:6" ht="32.1" customHeight="1">
      <c r="B4" s="27">
        <f>COUNTA(Data_Availability_Matrix!D4:D104)</f>
        <v>101</v>
      </c>
      <c r="C4" s="27" cm="1">
        <f t="array" ref="C4">SUMPRODUCT(1/COUNTIF(Data_Availability_Matrix!C4:C104,Data_Availability_Matrix!C4:C104))</f>
        <v>25.999999999999989</v>
      </c>
      <c r="D4" s="27">
        <f>20</f>
        <v>20</v>
      </c>
      <c r="E4" s="27">
        <f>COUNTA(Data_Availability_Matrix!E4:Y104)</f>
        <v>2121</v>
      </c>
    </row>
    <row r="6" spans="2:6" ht="21.95" customHeight="1">
      <c r="B6" s="32" t="s">
        <v>252</v>
      </c>
      <c r="C6" s="32"/>
      <c r="D6" s="32"/>
    </row>
    <row r="7" spans="2:6">
      <c r="B7" s="19" t="s">
        <v>253</v>
      </c>
      <c r="C7" s="19" t="s">
        <v>254</v>
      </c>
      <c r="D7" s="19" t="s">
        <v>255</v>
      </c>
    </row>
    <row r="8" spans="2:6">
      <c r="B8" s="20" t="str">
        <f>"Available"</f>
        <v>Available</v>
      </c>
      <c r="C8" s="20">
        <f>COUNTIF(Data_Availability_Matrix!E4:X104,"Available")</f>
        <v>492</v>
      </c>
      <c r="D8" s="21">
        <f>C8/$E$4</f>
        <v>0.23196605374823195</v>
      </c>
    </row>
    <row r="9" spans="2:6">
      <c r="B9" s="22" t="str">
        <f>"Partial: Not Comprehensive"</f>
        <v>Partial: Not Comprehensive</v>
      </c>
      <c r="C9" s="22">
        <f>COUNTIF(Data_Availability_Matrix!E4:X104,"Partial: Not Comprehensive")</f>
        <v>342</v>
      </c>
      <c r="D9" s="23">
        <f>C9/$E$4</f>
        <v>0.16124469589816123</v>
      </c>
    </row>
    <row r="10" spans="2:6">
      <c r="B10" s="24" t="str">
        <f>"Missing"</f>
        <v>Missing</v>
      </c>
      <c r="C10" s="24">
        <f>COUNTIF(Data_Availability_Matrix!E4:X104,"Missing")</f>
        <v>1186</v>
      </c>
      <c r="D10" s="25">
        <f>C10/$E$4</f>
        <v>0.5591702027345592</v>
      </c>
    </row>
    <row r="12" spans="2:6" ht="21.95" customHeight="1">
      <c r="B12" s="35" t="s">
        <v>256</v>
      </c>
      <c r="C12" s="41"/>
      <c r="D12" s="41"/>
      <c r="E12" s="41"/>
      <c r="F12" s="41"/>
    </row>
    <row r="13" spans="2:6">
      <c r="B13" s="12" t="s">
        <v>0</v>
      </c>
      <c r="C13" s="12" t="s">
        <v>118</v>
      </c>
      <c r="D13" s="12" t="s">
        <v>257</v>
      </c>
      <c r="E13" s="12" t="s">
        <v>119</v>
      </c>
      <c r="F13" s="12" t="s">
        <v>258</v>
      </c>
    </row>
    <row r="14" spans="2:6">
      <c r="B14" s="14" t="s">
        <v>5</v>
      </c>
      <c r="C14" s="14">
        <f>COUNTIF(Data_Availability_Matrix!E4:E104,"Available")</f>
        <v>69</v>
      </c>
      <c r="D14" s="14">
        <f>COUNTIF(Data_Availability_Matrix!E4:E104,"Partial: Not Comprehensive")</f>
        <v>0</v>
      </c>
      <c r="E14" s="14">
        <f>COUNTIF(Data_Availability_Matrix!E4:E104,"Missing")</f>
        <v>32</v>
      </c>
      <c r="F14" s="15">
        <f>IF(C14+D14+E14=0,0,C14/(C14+D14+E14))</f>
        <v>0.68316831683168322</v>
      </c>
    </row>
    <row r="15" spans="2:6">
      <c r="B15" s="14" t="s">
        <v>10</v>
      </c>
      <c r="C15" s="14">
        <f>COUNTIF(Data_Availability_Matrix!F4:F104,"Available")</f>
        <v>0</v>
      </c>
      <c r="D15" s="14">
        <f>COUNTIF(Data_Availability_Matrix!F4:F104,"Partial: Not Comprehensive")</f>
        <v>0</v>
      </c>
      <c r="E15" s="14">
        <f>COUNTIF(Data_Availability_Matrix!F4:F104,"Missing")</f>
        <v>101</v>
      </c>
      <c r="F15" s="15">
        <f t="shared" ref="F15:F33" si="0">IF(C15+D15+E15=0,0,C15/(C15+D15+E15))</f>
        <v>0</v>
      </c>
    </row>
    <row r="16" spans="2:6">
      <c r="B16" s="14" t="s">
        <v>15</v>
      </c>
      <c r="C16" s="14">
        <f>COUNTIF(Data_Availability_Matrix!G4:G104,"Available")</f>
        <v>52</v>
      </c>
      <c r="D16" s="14">
        <f>COUNTIF(Data_Availability_Matrix!G4:G104,"Partial: Not Comprehensive")</f>
        <v>0</v>
      </c>
      <c r="E16" s="14">
        <f>COUNTIF(Data_Availability_Matrix!G4:G104,"Missing")</f>
        <v>49</v>
      </c>
      <c r="F16" s="15">
        <f t="shared" si="0"/>
        <v>0.51485148514851486</v>
      </c>
    </row>
    <row r="17" spans="2:6">
      <c r="B17" s="14" t="s">
        <v>20</v>
      </c>
      <c r="C17" s="14">
        <f>COUNTIF(Data_Availability_Matrix!H4:H104,"Available")</f>
        <v>0</v>
      </c>
      <c r="D17" s="14">
        <f>COUNTIF(Data_Availability_Matrix!H4:H104,"Partial: Not Comprehensive")</f>
        <v>11</v>
      </c>
      <c r="E17" s="14">
        <f>COUNTIF(Data_Availability_Matrix!H4:H104,"Missing")</f>
        <v>90</v>
      </c>
      <c r="F17" s="15">
        <f t="shared" si="0"/>
        <v>0</v>
      </c>
    </row>
    <row r="18" spans="2:6">
      <c r="B18" s="14" t="s">
        <v>25</v>
      </c>
      <c r="C18" s="14">
        <f>COUNTIF(Data_Availability_Matrix!I4:I104,"Available")</f>
        <v>0</v>
      </c>
      <c r="D18" s="14">
        <f>COUNTIF(Data_Availability_Matrix!I4:I104,"Partial: Not Comprehensive")</f>
        <v>15</v>
      </c>
      <c r="E18" s="14">
        <f>COUNTIF(Data_Availability_Matrix!I4:I104,"Missing")</f>
        <v>86</v>
      </c>
      <c r="F18" s="15">
        <f t="shared" si="0"/>
        <v>0</v>
      </c>
    </row>
    <row r="19" spans="2:6">
      <c r="B19" s="14" t="s">
        <v>30</v>
      </c>
      <c r="C19" s="14">
        <f>COUNTIF(Data_Availability_Matrix!J4:J104,"Available")</f>
        <v>98</v>
      </c>
      <c r="D19" s="14">
        <f>COUNTIF(Data_Availability_Matrix!J4:J104,"Partial: Not Comprehensive")</f>
        <v>3</v>
      </c>
      <c r="E19" s="14">
        <f>COUNTIF(Data_Availability_Matrix!J4:J104,"Missing")</f>
        <v>0</v>
      </c>
      <c r="F19" s="15">
        <f t="shared" si="0"/>
        <v>0.97029702970297027</v>
      </c>
    </row>
    <row r="20" spans="2:6">
      <c r="B20" s="14" t="s">
        <v>35</v>
      </c>
      <c r="C20" s="14">
        <f>COUNTIF(Data_Availability_Matrix!K4:K104,"Available")</f>
        <v>71</v>
      </c>
      <c r="D20" s="14">
        <f>COUNTIF(Data_Availability_Matrix!K4:K104,"Partial: Not Comprehensive")</f>
        <v>30</v>
      </c>
      <c r="E20" s="14">
        <f>COUNTIF(Data_Availability_Matrix!K4:K104,"Missing")</f>
        <v>0</v>
      </c>
      <c r="F20" s="15">
        <f t="shared" si="0"/>
        <v>0.70297029702970293</v>
      </c>
    </row>
    <row r="21" spans="2:6">
      <c r="B21" s="14" t="s">
        <v>40</v>
      </c>
      <c r="C21" s="14">
        <f>COUNTIF(Data_Availability_Matrix!L4:L104,"Available")</f>
        <v>0</v>
      </c>
      <c r="D21" s="14">
        <f>COUNTIF(Data_Availability_Matrix!L4:L104,"Partial: Not Comprehensive")</f>
        <v>86</v>
      </c>
      <c r="E21" s="14">
        <f>COUNTIF(Data_Availability_Matrix!L4:L104,"Missing")</f>
        <v>15</v>
      </c>
      <c r="F21" s="15">
        <f t="shared" si="0"/>
        <v>0</v>
      </c>
    </row>
    <row r="22" spans="2:6">
      <c r="B22" s="14" t="s">
        <v>45</v>
      </c>
      <c r="C22" s="14">
        <f>COUNTIF(Data_Availability_Matrix!M4:M104,"Available")</f>
        <v>60</v>
      </c>
      <c r="D22" s="14">
        <f>COUNTIF(Data_Availability_Matrix!M4:M104,"Partial: Not Comprehensive")</f>
        <v>40</v>
      </c>
      <c r="E22" s="14">
        <f>COUNTIF(Data_Availability_Matrix!M4:M104,"Missing")</f>
        <v>1</v>
      </c>
      <c r="F22" s="15">
        <f t="shared" si="0"/>
        <v>0.59405940594059403</v>
      </c>
    </row>
    <row r="23" spans="2:6">
      <c r="B23" s="14" t="s">
        <v>50</v>
      </c>
      <c r="C23" s="14">
        <f>COUNTIF(Data_Availability_Matrix!N4:N104,"Available")</f>
        <v>0</v>
      </c>
      <c r="D23" s="14">
        <f>COUNTIF(Data_Availability_Matrix!N4:N104,"Partial: Not Comprehensive")</f>
        <v>0</v>
      </c>
      <c r="E23" s="14">
        <f>COUNTIF(Data_Availability_Matrix!N4:N104,"Missing")</f>
        <v>101</v>
      </c>
      <c r="F23" s="15">
        <f t="shared" si="0"/>
        <v>0</v>
      </c>
    </row>
    <row r="24" spans="2:6">
      <c r="B24" s="14" t="s">
        <v>55</v>
      </c>
      <c r="C24" s="14">
        <f>COUNTIF(Data_Availability_Matrix!O4:O104,"Available")</f>
        <v>0</v>
      </c>
      <c r="D24" s="14">
        <f>COUNTIF(Data_Availability_Matrix!O4:O104,"Partial: Not Comprehensive")</f>
        <v>2</v>
      </c>
      <c r="E24" s="14">
        <f>COUNTIF(Data_Availability_Matrix!O4:O104,"Missing")</f>
        <v>99</v>
      </c>
      <c r="F24" s="15">
        <f t="shared" si="0"/>
        <v>0</v>
      </c>
    </row>
    <row r="25" spans="2:6">
      <c r="B25" s="14" t="s">
        <v>60</v>
      </c>
      <c r="C25" s="14">
        <f>COUNTIF(Data_Availability_Matrix!P4:P104,"Available")</f>
        <v>0</v>
      </c>
      <c r="D25" s="14">
        <f>COUNTIF(Data_Availability_Matrix!P4:P104,"Partial: Not Comprehensive")</f>
        <v>88</v>
      </c>
      <c r="E25" s="14">
        <f>COUNTIF(Data_Availability_Matrix!P4:P104,"Missing")</f>
        <v>13</v>
      </c>
      <c r="F25" s="15">
        <f t="shared" si="0"/>
        <v>0</v>
      </c>
    </row>
    <row r="26" spans="2:6">
      <c r="B26" s="14" t="s">
        <v>65</v>
      </c>
      <c r="C26" s="14">
        <f>COUNTIF(Data_Availability_Matrix!Q4:Q104,"Available")</f>
        <v>0</v>
      </c>
      <c r="D26" s="14">
        <f>COUNTIF(Data_Availability_Matrix!Q4:Q104,"Partial: Not Comprehensive")</f>
        <v>21</v>
      </c>
      <c r="E26" s="14">
        <f>COUNTIF(Data_Availability_Matrix!Q4:Q104,"Missing")</f>
        <v>80</v>
      </c>
      <c r="F26" s="15">
        <f t="shared" si="0"/>
        <v>0</v>
      </c>
    </row>
    <row r="27" spans="2:6">
      <c r="B27" s="14" t="s">
        <v>70</v>
      </c>
      <c r="C27" s="14">
        <f>COUNTIF(Data_Availability_Matrix!R4:R104,"Available")</f>
        <v>0</v>
      </c>
      <c r="D27" s="14">
        <f>COUNTIF(Data_Availability_Matrix!R4:R104,"Partial: Not Comprehensive")</f>
        <v>0</v>
      </c>
      <c r="E27" s="14">
        <f>COUNTIF(Data_Availability_Matrix!R4:R104,"Missing")</f>
        <v>101</v>
      </c>
      <c r="F27" s="15">
        <f t="shared" si="0"/>
        <v>0</v>
      </c>
    </row>
    <row r="28" spans="2:6">
      <c r="B28" s="14" t="s">
        <v>75</v>
      </c>
      <c r="C28" s="14">
        <f>COUNTIF(Data_Availability_Matrix!S4:S104,"Available")</f>
        <v>0</v>
      </c>
      <c r="D28" s="14">
        <f>COUNTIF(Data_Availability_Matrix!S4:S104,"Partial: Not Comprehensive")</f>
        <v>0</v>
      </c>
      <c r="E28" s="14">
        <f>COUNTIF(Data_Availability_Matrix!S4:S104,"Missing")</f>
        <v>101</v>
      </c>
      <c r="F28" s="15">
        <f t="shared" si="0"/>
        <v>0</v>
      </c>
    </row>
    <row r="29" spans="2:6">
      <c r="B29" s="14" t="s">
        <v>80</v>
      </c>
      <c r="C29" s="14">
        <f>COUNTIF(Data_Availability_Matrix!T4:T104,"Available")</f>
        <v>90</v>
      </c>
      <c r="D29" s="14">
        <f>COUNTIF(Data_Availability_Matrix!T4:T104,"Partial: Not Comprehensive")</f>
        <v>8</v>
      </c>
      <c r="E29" s="14">
        <f>COUNTIF(Data_Availability_Matrix!T4:T104,"Missing")</f>
        <v>3</v>
      </c>
      <c r="F29" s="15">
        <f t="shared" si="0"/>
        <v>0.8910891089108911</v>
      </c>
    </row>
    <row r="30" spans="2:6">
      <c r="B30" s="14" t="s">
        <v>85</v>
      </c>
      <c r="C30" s="14">
        <f>COUNTIF(Data_Availability_Matrix!U4:U104,"Available")</f>
        <v>0</v>
      </c>
      <c r="D30" s="14">
        <f>COUNTIF(Data_Availability_Matrix!U4:U104,"Partial: Not Comprehensive")</f>
        <v>0</v>
      </c>
      <c r="E30" s="14">
        <f>COUNTIF(Data_Availability_Matrix!U4:U104,"Missing")</f>
        <v>101</v>
      </c>
      <c r="F30" s="15">
        <f t="shared" si="0"/>
        <v>0</v>
      </c>
    </row>
    <row r="31" spans="2:6">
      <c r="B31" s="14" t="s">
        <v>90</v>
      </c>
      <c r="C31" s="14">
        <f>COUNTIF(Data_Availability_Matrix!V4:V104,"Available")</f>
        <v>52</v>
      </c>
      <c r="D31" s="14">
        <f>COUNTIF(Data_Availability_Matrix!V4:V104,"Partial: Not Comprehensive")</f>
        <v>20</v>
      </c>
      <c r="E31" s="14">
        <f>COUNTIF(Data_Availability_Matrix!V4:V104,"Missing")</f>
        <v>29</v>
      </c>
      <c r="F31" s="15">
        <f t="shared" si="0"/>
        <v>0.51485148514851486</v>
      </c>
    </row>
    <row r="32" spans="2:6">
      <c r="B32" s="14" t="s">
        <v>95</v>
      </c>
      <c r="C32" s="14">
        <f>COUNTIF(Data_Availability_Matrix!W4:W104,"Available")</f>
        <v>0</v>
      </c>
      <c r="D32" s="14">
        <f>COUNTIF(Data_Availability_Matrix!W4:W104,"Partial: Not Comprehensive")</f>
        <v>2</v>
      </c>
      <c r="E32" s="14">
        <f>COUNTIF(Data_Availability_Matrix!W4:W104,"Missing")</f>
        <v>99</v>
      </c>
      <c r="F32" s="15">
        <f>IF(C32+D32+E32=0,0,C32/(C32+D32+E32))</f>
        <v>0</v>
      </c>
    </row>
    <row r="33" spans="2:6">
      <c r="B33" s="14" t="s">
        <v>100</v>
      </c>
      <c r="C33" s="14">
        <f>COUNTIF(Data_Availability_Matrix!X4:X104,"Available")</f>
        <v>0</v>
      </c>
      <c r="D33" s="14">
        <f>COUNTIF(Data_Availability_Matrix!X4:X104,"Partial: Not Comprehensive")</f>
        <v>16</v>
      </c>
      <c r="E33" s="14">
        <f>COUNTIF(Data_Availability_Matrix!X4:X104,"Missing")</f>
        <v>85</v>
      </c>
      <c r="F33" s="15">
        <f>IF(C33+D33+E33=0,0,C33/(C33+D33+E33))</f>
        <v>0</v>
      </c>
    </row>
    <row r="34" spans="2:6" ht="14.25">
      <c r="B34" s="14" t="s">
        <v>105</v>
      </c>
      <c r="C34" s="14">
        <f>COUNTIF(Data_Availability_Matrix!Y4:Y104,"Available")</f>
        <v>22</v>
      </c>
      <c r="D34" s="17">
        <f>COUNTIF(Data_Availability_Matrix!Y4:Y104,"Partial: Not Comprehensive")</f>
        <v>0</v>
      </c>
      <c r="E34" s="17">
        <f>COUNTIF(Data_Availability_Matrix!Y4:Y104,"Missing")</f>
        <v>1</v>
      </c>
      <c r="F34" s="15">
        <f>IF(C34+D34+E34=0,0,C34/(C34+D34+E34))</f>
        <v>0.95652173913043481</v>
      </c>
    </row>
    <row r="36" spans="2:6" ht="21.95" customHeight="1">
      <c r="B36" s="32" t="s">
        <v>259</v>
      </c>
      <c r="C36" s="33"/>
      <c r="D36" s="33"/>
      <c r="E36" s="33"/>
      <c r="F36" s="33"/>
    </row>
    <row r="37" spans="2:6">
      <c r="B37" s="12" t="s">
        <v>113</v>
      </c>
      <c r="C37" s="12" t="s">
        <v>260</v>
      </c>
      <c r="D37" s="12" t="s">
        <v>261</v>
      </c>
      <c r="E37" s="12" t="s">
        <v>262</v>
      </c>
      <c r="F37" s="12" t="s">
        <v>258</v>
      </c>
    </row>
    <row r="38" spans="2:6">
      <c r="B38" s="13" t="s">
        <v>131</v>
      </c>
      <c r="C38" s="13">
        <f>COUNTIF(Data_Availability_Matrix!$C$4:$C$104,"Duri")</f>
        <v>42</v>
      </c>
      <c r="D38" s="14">
        <f>SUMPRODUCT((Data_Availability_Matrix!$C$4:$C$104="Duri")*(Data_Availability_Matrix!$E$4:$X$104="Available"))</f>
        <v>135</v>
      </c>
      <c r="E38" s="14">
        <f>C38*20</f>
        <v>840</v>
      </c>
      <c r="F38" s="15">
        <f t="shared" ref="F38:F55" si="1">IF(E38=0,0,D38/E38)</f>
        <v>0.16071428571428573</v>
      </c>
    </row>
    <row r="39" spans="2:6">
      <c r="B39" s="13" t="s">
        <v>193</v>
      </c>
      <c r="C39" s="13">
        <f>COUNTIF(Data_Availability_Matrix!$C$4:$C$104,"Kopar")</f>
        <v>9</v>
      </c>
      <c r="D39" s="14">
        <f>SUMPRODUCT((Data_Availability_Matrix!$C$4:$C$104="Kopar")*(Data_Availability_Matrix!$E$4:$X$104="Available"))</f>
        <v>42</v>
      </c>
      <c r="E39" s="14">
        <f t="shared" ref="E39:E63" si="2">C39*20</f>
        <v>180</v>
      </c>
      <c r="F39" s="15">
        <f t="shared" si="1"/>
        <v>0.23333333333333334</v>
      </c>
    </row>
    <row r="40" spans="2:6">
      <c r="B40" s="13" t="s">
        <v>234</v>
      </c>
      <c r="C40" s="13">
        <f>COUNTIF(Data_Availability_Matrix!$C$4:$C$104,"Puncak")</f>
        <v>7</v>
      </c>
      <c r="D40" s="14">
        <f>SUMPRODUCT((Data_Availability_Matrix!$C$4:$C$104="Puncak")*(Data_Availability_Matrix!$E$4:$X$104="Available"))</f>
        <v>46</v>
      </c>
      <c r="E40" s="14">
        <f t="shared" si="2"/>
        <v>140</v>
      </c>
      <c r="F40" s="15">
        <f t="shared" si="1"/>
        <v>0.32857142857142857</v>
      </c>
    </row>
    <row r="41" spans="2:6">
      <c r="B41" s="13" t="s">
        <v>208</v>
      </c>
      <c r="C41" s="13">
        <f>COUNTIF(Data_Availability_Matrix!$C$4:$C$104,"Minas")</f>
        <v>6</v>
      </c>
      <c r="D41" s="14">
        <f>SUMPRODUCT((Data_Availability_Matrix!$C$4:$C$104="Minas")*(Data_Availability_Matrix!$E$4:$X$104="Available"))</f>
        <v>38</v>
      </c>
      <c r="E41" s="14">
        <f t="shared" si="2"/>
        <v>120</v>
      </c>
      <c r="F41" s="15">
        <f t="shared" si="1"/>
        <v>0.31666666666666665</v>
      </c>
    </row>
    <row r="42" spans="2:6">
      <c r="B42" s="13" t="s">
        <v>185</v>
      </c>
      <c r="C42" s="13">
        <f>COUNTIF(Data_Availability_Matrix!$C$4:$C$104,"Kelok")</f>
        <v>4</v>
      </c>
      <c r="D42" s="14">
        <f>SUMPRODUCT((Data_Availability_Matrix!$C$4:$C$104="Kelok")*(Data_Availability_Matrix!$E$4:$X$104="Available"))</f>
        <v>28</v>
      </c>
      <c r="E42" s="14">
        <f t="shared" si="2"/>
        <v>80</v>
      </c>
      <c r="F42" s="15">
        <f t="shared" si="1"/>
        <v>0.35</v>
      </c>
    </row>
    <row r="43" spans="2:6">
      <c r="B43" s="13" t="s">
        <v>220</v>
      </c>
      <c r="C43" s="13">
        <f>COUNTIF(Data_Availability_Matrix!$C$4:$C$104,"Pematang Bow")</f>
        <v>4</v>
      </c>
      <c r="D43" s="14">
        <f>SUMPRODUCT((Data_Availability_Matrix!$C$4:$C$104="Pematang Bow")*(Data_Availability_Matrix!$E$4:$X$104="Available"))</f>
        <v>22</v>
      </c>
      <c r="E43" s="14">
        <f t="shared" si="2"/>
        <v>80</v>
      </c>
      <c r="F43" s="15">
        <f t="shared" si="1"/>
        <v>0.27500000000000002</v>
      </c>
    </row>
    <row r="44" spans="2:6">
      <c r="B44" s="13" t="s">
        <v>181</v>
      </c>
      <c r="C44" s="13">
        <f>COUNTIF(Data_Availability_Matrix!$C$4:$C$104,"Jorang")</f>
        <v>3</v>
      </c>
      <c r="D44" s="14">
        <f>SUMPRODUCT((Data_Availability_Matrix!$C$4:$C$104="Jorang")*(Data_Availability_Matrix!$E$4:$X$104="Available"))</f>
        <v>21</v>
      </c>
      <c r="E44" s="14">
        <f t="shared" si="2"/>
        <v>60</v>
      </c>
      <c r="F44" s="15">
        <f t="shared" si="1"/>
        <v>0.35</v>
      </c>
    </row>
    <row r="45" spans="2:6">
      <c r="B45" s="13" t="s">
        <v>176</v>
      </c>
      <c r="C45" s="13">
        <f>COUNTIF(Data_Availability_Matrix!$C$4:$C$104,"Gulamo")</f>
        <v>2</v>
      </c>
      <c r="D45" s="14">
        <f>SUMPRODUCT((Data_Availability_Matrix!$C$4:$C$104="Gulamo")*(Data_Availability_Matrix!$E$4:$X$104="Available"))</f>
        <v>8</v>
      </c>
      <c r="E45" s="14">
        <f t="shared" si="2"/>
        <v>40</v>
      </c>
      <c r="F45" s="15">
        <f t="shared" si="1"/>
        <v>0.2</v>
      </c>
    </row>
    <row r="46" spans="2:6">
      <c r="B46" s="13" t="s">
        <v>190</v>
      </c>
      <c r="C46" s="13">
        <f>COUNTIF(Data_Availability_Matrix!$C$4:$C$104,"Kerang")</f>
        <v>2</v>
      </c>
      <c r="D46" s="14">
        <f>SUMPRODUCT((Data_Availability_Matrix!$C$4:$C$104="Kerang")*(Data_Availability_Matrix!$E$4:$X$104="Available"))</f>
        <v>13</v>
      </c>
      <c r="E46" s="14">
        <f t="shared" si="2"/>
        <v>40</v>
      </c>
      <c r="F46" s="15">
        <f t="shared" si="1"/>
        <v>0.32500000000000001</v>
      </c>
    </row>
    <row r="47" spans="2:6">
      <c r="B47" s="13" t="s">
        <v>203</v>
      </c>
      <c r="C47" s="13">
        <f>COUNTIF(Data_Availability_Matrix!$C$4:$C$104,"Libo")</f>
        <v>2</v>
      </c>
      <c r="D47" s="14" cm="1">
        <f t="array" ref="D47">SUMPRODUCT((Data_Availability_Matrix!$C$4:$C$104="Libo")*(Data_Availability_Matrix!$E$4:$X$104="Available"))</f>
        <v>13</v>
      </c>
      <c r="E47" s="14">
        <f>C47*20</f>
        <v>40</v>
      </c>
      <c r="F47" s="15">
        <f t="shared" si="1"/>
        <v>0.32500000000000001</v>
      </c>
    </row>
    <row r="48" spans="2:6">
      <c r="B48" s="13" t="s">
        <v>206</v>
      </c>
      <c r="C48" s="13">
        <f>COUNTIF(Data_Availability_Matrix!$C$4:$C$104,"Libo Se")</f>
        <v>1</v>
      </c>
      <c r="D48" s="14" cm="1">
        <f t="array" ref="D48">SUMPRODUCT((Data_Availability_Matrix!$C$4:$C$104="Libo Se")*(Data_Availability_Matrix!$E$4:$X$104="Available"))</f>
        <v>4</v>
      </c>
      <c r="E48" s="14">
        <f>C48*20</f>
        <v>20</v>
      </c>
      <c r="F48" s="15">
        <f t="shared" si="1"/>
        <v>0.2</v>
      </c>
    </row>
    <row r="49" spans="2:6">
      <c r="B49" s="13" t="s">
        <v>217</v>
      </c>
      <c r="C49" s="13">
        <f>COUNTIF(Data_Availability_Matrix!$C$4:$C$104,"Pager")</f>
        <v>2</v>
      </c>
      <c r="D49" s="14">
        <f>SUMPRODUCT((Data_Availability_Matrix!$C$4:$C$104="Pager")*(Data_Availability_Matrix!$E$4:$X$104="Available"))</f>
        <v>13</v>
      </c>
      <c r="E49" s="14">
        <f t="shared" si="2"/>
        <v>40</v>
      </c>
      <c r="F49" s="15">
        <f t="shared" si="1"/>
        <v>0.32500000000000001</v>
      </c>
    </row>
    <row r="50" spans="2:6">
      <c r="B50" s="13" t="s">
        <v>231</v>
      </c>
      <c r="C50" s="13">
        <f>COUNTIF(Data_Availability_Matrix!$C$4:$C$104,"Petapahan")</f>
        <v>2</v>
      </c>
      <c r="D50" s="14">
        <f>SUMPRODUCT((Data_Availability_Matrix!$C$4:$C$104="Petapahan")*(Data_Availability_Matrix!$E$4:$X$104="Available"))</f>
        <v>12</v>
      </c>
      <c r="E50" s="14">
        <f t="shared" si="2"/>
        <v>40</v>
      </c>
      <c r="F50" s="15">
        <f t="shared" si="1"/>
        <v>0.3</v>
      </c>
    </row>
    <row r="51" spans="2:6">
      <c r="B51" s="13" t="s">
        <v>242</v>
      </c>
      <c r="C51" s="13">
        <f>COUNTIF(Data_Availability_Matrix!$C$4:$C$104,"Pungut")</f>
        <v>2</v>
      </c>
      <c r="D51" s="14">
        <f>SUMPRODUCT((Data_Availability_Matrix!$C$4:$C$104="Pungut")*(Data_Availability_Matrix!$E$4:$X$104="Available"))</f>
        <v>12</v>
      </c>
      <c r="E51" s="14">
        <f t="shared" si="2"/>
        <v>40</v>
      </c>
      <c r="F51" s="15">
        <f t="shared" si="1"/>
        <v>0.3</v>
      </c>
    </row>
    <row r="52" spans="2:6">
      <c r="B52" s="13" t="s">
        <v>116</v>
      </c>
      <c r="C52" s="13">
        <f>COUNTIF(Data_Availability_Matrix!$C$4:$C$104,"Balam Se")</f>
        <v>1</v>
      </c>
      <c r="D52" s="14">
        <f>SUMPRODUCT((Data_Availability_Matrix!$C$4:$C$104="Balam Se")*(Data_Availability_Matrix!$E$4:$X$104="Available"))</f>
        <v>6</v>
      </c>
      <c r="E52" s="14">
        <f t="shared" si="2"/>
        <v>20</v>
      </c>
      <c r="F52" s="15">
        <f t="shared" si="1"/>
        <v>0.3</v>
      </c>
    </row>
    <row r="53" spans="2:6">
      <c r="B53" s="13" t="s">
        <v>122</v>
      </c>
      <c r="C53" s="13">
        <f>COUNTIF(Data_Availability_Matrix!$C$4:$C$104,"Bangko")</f>
        <v>2</v>
      </c>
      <c r="D53" s="14">
        <f>SUMPRODUCT((Data_Availability_Matrix!$C$4:$C$104="Bangko")*(Data_Availability_Matrix!$E$4:$X$104="Available"))</f>
        <v>12</v>
      </c>
      <c r="E53" s="14">
        <f t="shared" si="2"/>
        <v>40</v>
      </c>
      <c r="F53" s="15">
        <f t="shared" si="1"/>
        <v>0.3</v>
      </c>
    </row>
    <row r="54" spans="2:6">
      <c r="B54" s="13" t="s">
        <v>125</v>
      </c>
      <c r="C54" s="13">
        <f>COUNTIF(Data_Availability_Matrix!$C$4:$C$104,"Bekasap So")</f>
        <v>1</v>
      </c>
      <c r="D54" s="14">
        <f>SUMPRODUCT((Data_Availability_Matrix!$C$4:$C$104="Bekasap So")*(Data_Availability_Matrix!$E$4:$X$104="Available"))</f>
        <v>6</v>
      </c>
      <c r="E54" s="14">
        <f t="shared" si="2"/>
        <v>20</v>
      </c>
      <c r="F54" s="15">
        <f t="shared" si="1"/>
        <v>0.3</v>
      </c>
    </row>
    <row r="55" spans="2:6">
      <c r="B55" s="13" t="s">
        <v>127</v>
      </c>
      <c r="C55" s="13">
        <f>COUNTIF(Data_Availability_Matrix!$C$4:$C$104,"Benar")</f>
        <v>1</v>
      </c>
      <c r="D55" s="14" cm="1">
        <f t="array" ref="D55">SUMPRODUCT((Data_Availability_Matrix!$C$4:$C$104="Benar")*(Data_Availability_Matrix!$E$4:$X$104="Available"))</f>
        <v>7</v>
      </c>
      <c r="E55" s="14">
        <f t="shared" si="2"/>
        <v>20</v>
      </c>
      <c r="F55" s="15">
        <f>IF(E55=0,0,D55/E55)</f>
        <v>0.35</v>
      </c>
    </row>
    <row r="56" spans="2:6" ht="14.25">
      <c r="B56" s="13" t="s">
        <v>129</v>
      </c>
      <c r="C56" s="13">
        <f>COUNTIF(Data_Availability_Matrix!$C$4:$C$104,"Candi")</f>
        <v>1</v>
      </c>
      <c r="D56" s="14" cm="1">
        <f t="array" ref="D56">SUMPRODUCT((Data_Availability_Matrix!$C$4:$C$104="Candi")*(Data_Availability_Matrix!$E$4:$X$104="Available"))</f>
        <v>7</v>
      </c>
      <c r="E56" s="14">
        <f t="shared" si="2"/>
        <v>20</v>
      </c>
      <c r="F56" s="15">
        <f>IF(E56=0,0,D56/E56)</f>
        <v>0.35</v>
      </c>
    </row>
    <row r="57" spans="2:6" ht="14.25">
      <c r="B57" s="16" t="s">
        <v>174</v>
      </c>
      <c r="C57" s="16">
        <f>COUNTIF(Data_Availability_Matrix!$C$4:$C$104,"Fajar")</f>
        <v>1</v>
      </c>
      <c r="D57" s="17" cm="1">
        <f t="array" ref="D57">SUMPRODUCT((Data_Availability_Matrix!$C$4:$C$104="Fajar")*(Data_Availability_Matrix!$E$4:$X$104="Available"))</f>
        <v>7</v>
      </c>
      <c r="E57" s="14">
        <f t="shared" si="2"/>
        <v>20</v>
      </c>
      <c r="F57" s="15">
        <f>IF(E57=0,0,D57/E57)</f>
        <v>0.35</v>
      </c>
    </row>
    <row r="58" spans="2:6" ht="14.25">
      <c r="B58" s="16" t="s">
        <v>179</v>
      </c>
      <c r="C58" s="16">
        <f>COUNTIF(Data_Availability_Matrix!$C$4:$C$104,"Intan")</f>
        <v>1</v>
      </c>
      <c r="D58" s="17" cm="1">
        <f t="array" ref="D58">SUMPRODUCT((Data_Availability_Matrix!$C$4:$C$104="Intan")*(Data_Availability_Matrix!$E$4:$X$104="Available"))</f>
        <v>7</v>
      </c>
      <c r="E58" s="14">
        <f t="shared" si="2"/>
        <v>20</v>
      </c>
      <c r="F58" s="15">
        <f>IF(E58=0,0,D58/E58)</f>
        <v>0.35</v>
      </c>
    </row>
    <row r="59" spans="2:6" ht="14.25">
      <c r="B59" s="16" t="s">
        <v>215</v>
      </c>
      <c r="C59" s="16">
        <f>COUNTIF(Data_Availability_Matrix!$C$4:$C$104,"Oki")</f>
        <v>1</v>
      </c>
      <c r="D59" s="17" cm="1">
        <f t="array" ref="D59">SUMPRODUCT((Data_Availability_Matrix!$C$4:$C$104="Oki")*(Data_Availability_Matrix!$E$4:$X$104="Available"))</f>
        <v>7</v>
      </c>
      <c r="E59" s="14">
        <f t="shared" si="2"/>
        <v>20</v>
      </c>
      <c r="F59" s="15">
        <f>IF(E59=0,0,D59/E59)</f>
        <v>0.35</v>
      </c>
    </row>
    <row r="60" spans="2:6" ht="14.25">
      <c r="B60" s="16" t="s">
        <v>225</v>
      </c>
      <c r="C60" s="16">
        <f>COUNTIF(Data_Availability_Matrix!$C$4:$C$104,"Pemburu")</f>
        <v>1</v>
      </c>
      <c r="D60" s="17" cm="1">
        <f t="array" ref="D60">SUMPRODUCT((Data_Availability_Matrix!$C$4:$C$104="Pemburu")*(Data_Availability_Matrix!$E$4:$X$104="Available"))</f>
        <v>6</v>
      </c>
      <c r="E60" s="14">
        <f t="shared" si="2"/>
        <v>20</v>
      </c>
      <c r="F60" s="15">
        <f>IF(E60=0,0,D60/E60)</f>
        <v>0.3</v>
      </c>
    </row>
    <row r="61" spans="2:6" ht="14.25">
      <c r="B61" s="16" t="s">
        <v>227</v>
      </c>
      <c r="C61" s="16">
        <f>COUNTIF(Data_Availability_Matrix!$C$4:$C$104,"Penasa")</f>
        <v>1</v>
      </c>
      <c r="D61" s="17" cm="1">
        <f t="array" ref="D61">SUMPRODUCT((Data_Availability_Matrix!$C$4:$C$104="Penasa")*(Data_Availability_Matrix!$E$4:$X$104="Available"))</f>
        <v>6</v>
      </c>
      <c r="E61" s="14">
        <f t="shared" si="2"/>
        <v>20</v>
      </c>
      <c r="F61" s="15">
        <f>IF(E61=0,0,D61/E61)</f>
        <v>0.3</v>
      </c>
    </row>
    <row r="62" spans="2:6" ht="14.25">
      <c r="B62" s="16" t="s">
        <v>229</v>
      </c>
      <c r="C62" s="16">
        <f>COUNTIF(Data_Availability_Matrix!$C$4:$C$104,"Petani")</f>
        <v>1</v>
      </c>
      <c r="D62" s="17" cm="1">
        <f t="array" ref="D62">SUMPRODUCT((Data_Availability_Matrix!$C$4:$C$104="Petani")*(Data_Availability_Matrix!$E$4:$X$104="Available"))</f>
        <v>7</v>
      </c>
      <c r="E62" s="14">
        <f t="shared" si="2"/>
        <v>20</v>
      </c>
      <c r="F62" s="15">
        <f>IF(E62=0,0,D62/E62)</f>
        <v>0.35</v>
      </c>
    </row>
    <row r="63" spans="2:6" ht="14.25">
      <c r="B63" s="16" t="s">
        <v>245</v>
      </c>
      <c r="C63" s="16">
        <f>COUNTIF(Data_Availability_Matrix!$C$4:$C$104,"Singa")</f>
        <v>1</v>
      </c>
      <c r="D63" s="17" cm="1">
        <f t="array" ref="D63">SUMPRODUCT((Data_Availability_Matrix!$C$4:$C$104="Singa")*(Data_Availability_Matrix!$E$4:$X$104="Available"))</f>
        <v>7</v>
      </c>
      <c r="E63" s="14">
        <f t="shared" si="2"/>
        <v>20</v>
      </c>
      <c r="F63" s="15">
        <f>IF(E63=0,0,D63/E63)</f>
        <v>0.35</v>
      </c>
    </row>
    <row r="64" spans="2:6" ht="14.25">
      <c r="C64" s="18">
        <f>SUM(C38:C63)</f>
        <v>101</v>
      </c>
    </row>
  </sheetData>
  <mergeCells count="4">
    <mergeCell ref="B36:F36"/>
    <mergeCell ref="B6:D6"/>
    <mergeCell ref="B1:F1"/>
    <mergeCell ref="B12:F12"/>
  </mergeCells>
  <conditionalFormatting sqref="F14:F34">
    <cfRule type="cellIs" dxfId="3" priority="1" operator="greaterThanOrEqual">
      <formula>0.7</formula>
    </cfRule>
    <cfRule type="cellIs" dxfId="2" priority="2" operator="between">
      <formula>0.3</formula>
      <formula>0.6999</formula>
    </cfRule>
    <cfRule type="cellIs" dxfId="1" priority="3" operator="between">
      <formula>0.01</formula>
      <formula>0.2999</formula>
    </cfRule>
    <cfRule type="cellIs" dxfId="0" priority="4" operator="equal">
      <formula>0</formula>
    </cfRule>
  </conditionalFormatting>
  <pageMargins left="0.75" right="0.75" top="1" bottom="1" header="0.5" footer="0.5"/>
  <drawing r:id="rId1"/>
  <legacyDrawing r:id="rId2"/>
</worksheet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2026-07-03T02:10:40Z</dcterms:created>
  <dcterms:modified xsi:type="dcterms:W3CDTF">2026-07-19T09:43:12Z</dcterms:modified>
  <cp:category/>
  <cp:contentStatus/>
</cp:coreProperties>
</file>